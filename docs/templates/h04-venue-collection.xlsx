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Start here" sheetId="1" r:id="rId1"/>
    <sheet name="Venues" sheetId="2" r:id="rId2"/>
    <sheet name="Courts" sheetId="3" r:id="rId3"/>
    <sheet name="Permissions" sheetId="4" r:id="rId4"/>
    <sheet name="Lists" sheetId="5" state="hidden" r:id="rId5"/>
  </sheets>
  <calcPr calcId="191029" fullCalcOnLoad="1"/>
</workbook>
</file>

<file path=xl/styles.xml><?xml version="1.0" encoding="utf-8"?>
<styleSheet xmlns="http://schemas.openxmlformats.org/spreadsheetml/2006/main">
  <numFmts count="2">
    <numFmt numFmtId="164" formatCode="0.000000"/>
    <numFmt numFmtId="165" formatCode="yyyy-mm-dd"/>
  </numFmts>
  <fonts count="5">
    <font>
      <sz val="11"/>
      <color rgb="FF000000"/>
      <name val="Calibri"/>
      <family val="2"/>
    </font>
    <font>
      <b/>
      <sz val="11"/>
      <color rgb="FFFFFFFF"/>
      <name val="Calibri"/>
      <family val="2"/>
    </font>
    <font>
      <b/>
      <sz val="16"/>
      <color rgb="FF1E3F7C"/>
      <name val="Calibri"/>
      <family val="2"/>
    </font>
    <font>
      <b/>
      <sz val="12"/>
      <color rgb="FF1E3F7C"/>
      <name val="Calibri"/>
      <family val="2"/>
    </font>
    <font>
      <sz val="11"/>
      <color rgb="FF334155"/>
      <name val="Calibri"/>
      <family val="2"/>
    </font>
  </fonts>
  <fills count="5">
    <fill>
      <patternFill patternType="none"/>
    </fill>
    <fill>
      <patternFill patternType="gray125"/>
    </fill>
    <fill>
      <patternFill patternType="solid">
        <fgColor rgb="FF1E3F7C"/>
        <bgColor indexed="64"/>
      </patternFill>
    </fill>
    <fill>
      <patternFill patternType="solid">
        <fgColor rgb="FFF1F5F9"/>
        <bgColor indexed="64"/>
      </patternFill>
    </fill>
    <fill>
      <patternFill patternType="solid">
        <fgColor rgb="FF64748B"/>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center" wrapText="1"/>
    </xf>
    <xf numFmtId="49" fontId="0" fillId="0" borderId="0" xfId="0" applyNumberFormat="1"/>
    <xf numFmtId="164" fontId="0" fillId="0" borderId="0" xfId="0" applyNumberFormat="1"/>
    <xf numFmtId="0" fontId="4" fillId="3" borderId="0" xfId="0" applyFont="1" applyFill="1"/>
    <xf numFmtId="165" fontId="0" fillId="0" borderId="0" xfId="0" applyNumberFormat="1"/>
    <xf numFmtId="0" fontId="2" fillId="0" borderId="0" xfId="0" applyFont="1"/>
    <xf numFmtId="0" fontId="3" fillId="0" borderId="0" xfId="0" applyFont="1"/>
    <xf numFmtId="0" fontId="0" fillId="0" borderId="0" xfId="0" applyAlignment="1">
      <alignment vertical="top" wrapText="1"/>
    </xf>
    <xf numFmtId="0" fontId="1" fillId="4" borderId="0" xfId="0" applyFont="1" applyFill="1" applyAlignment="1">
      <alignment vertical="center" wrapText="1"/>
    </xf>
  </cellXfs>
  <cellStyles count="1">
    <cellStyle name="Normal" xfId="0" builtinId="0"/>
  </cellStyles>
  <dxfs count="2">
    <dxf>
      <font>
        <color rgb="FF166534"/>
      </font>
      <fill>
        <patternFill>
          <bgColor rgb="FFDCFCE7"/>
        </patternFill>
      </fill>
    </dxf>
    <dxf>
      <font>
        <color rgb="FF92400E"/>
      </font>
      <fill>
        <patternFill>
          <bgColor rgb="FFFEF3C7"/>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tabSelected="1" workbookViewId="0">
      <selection activeCell="A1" sqref="A1"/>
    </sheetView>
  </sheetViews>
  <sheetFormatPr defaultRowHeight="15"/>
  <cols>
    <col min="1" max="1" width="110" style="8" customWidth="1"/>
  </cols>
  <sheetData>
    <row r="1" ht="24" customHeight="1">
      <c r="A1" s="6" t="inlineStr">
        <is>
          <t xml:space="preserve">PicklyPH venue collection (H04)</t>
        </is>
      </c>
    </row>
    <row r="2" ht="48" customHeight="1">
      <c r="A2" s="8" t="inlineStr">
        <is>
          <t xml:space="preserve">Use this workbook to collect real venues for the directory. Fill one row per venue on Venues and one row per court on Courts, and keep the permission record on Permissions. Columns marked * are required. Click a cell to see a short hint.</t>
        </is>
      </c>
    </row>
    <row r="4" ht="20" customHeight="1">
      <c r="A4" s="7" t="inlineStr">
        <is>
          <t xml:space="preserve">Before you add a venue</t>
        </is>
      </c>
    </row>
    <row r="5" ht="33" customHeight="1">
      <c r="A5" s="8" t="inlineStr">
        <is>
          <t xml:space="preserve">1. Ask the owner or manager whether PicklyPH may list the venue. Record who agreed, how and when on Permissions, and keep the proof (a message screenshot is fine).</t>
        </is>
      </c>
    </row>
    <row r="6" ht="33" customHeight="1">
      <c r="A6" s="8" t="inlineStr">
        <is>
          <t xml:space="preserve">2. Check that the venue is not already in the PicklyPH directory. A second row for the same venue creates a duplicate listing.</t>
        </is>
      </c>
    </row>
    <row r="8" ht="20" customHeight="1">
      <c r="A8" s="7" t="inlineStr">
        <is>
          <t xml:space="preserve">Venues</t>
        </is>
      </c>
    </row>
    <row r="9" ht="33" customHeight="1">
      <c r="A9" s="8" t="inlineStr">
        <is>
          <t xml:space="preserve">Venue code: a short code you make up, such as NCR-001 or CEB-003, with no spaces. It becomes the venue's permanent import reference, so never change or reuse a code once the venue is imported.</t>
        </is>
      </c>
    </row>
    <row r="10" ht="33" customHeight="1">
      <c r="A10" s="8" t="inlineStr">
        <is>
          <t xml:space="preserve">Name, street address, city or municipality, province: as the venue wants them shown. Up to 120 characters for the name, 240 for the address and 80 for city and province.</t>
        </is>
      </c>
    </row>
    <row r="11" ht="18" customHeight="1">
      <c r="A11" s="8" t="inlineStr">
        <is>
          <t xml:space="preserve">Region: for planning a spread across the country. It is not imported.</t>
        </is>
      </c>
    </row>
    <row r="12" ht="48" customHeight="1">
      <c r="A12" s="8" t="inlineStr">
        <is>
          <t xml:space="preserve">Latitude and longitude: in Google Maps, press and hold on the courts themselves (not the street), then copy the two numbers shown, such as 14.554729, 121.024445. The first is latitude, the second longitude.</t>
        </is>
      </c>
    </row>
    <row r="13" ht="33" customHeight="1">
      <c r="A13" s="8" t="inlineStr">
        <is>
          <t xml:space="preserve">Pin checked by: confirm the pin with the owner or manager, or on a site visit. The console only checks that the numbers are valid, not that they match the address.</t>
        </is>
      </c>
    </row>
    <row r="14" ht="18" customHeight="1">
      <c r="A14" s="8" t="inlineStr">
        <is>
          <t xml:space="preserve">Permission to list: Yes only after the owner or manager agreed.</t>
        </is>
      </c>
    </row>
    <row r="15" ht="33" customHeight="1">
      <c r="A15" s="8" t="inlineStr">
        <is>
          <t xml:space="preserve">Courts listed, Active courts and Status fill themselves. Status says what is still missing. A venue is ready to import when it says Ready.</t>
        </is>
      </c>
    </row>
    <row r="17" ht="20" customHeight="1">
      <c r="A17" s="7" t="inlineStr">
        <is>
          <t xml:space="preserve">Courts</t>
        </is>
      </c>
    </row>
    <row r="18" ht="18" customHeight="1">
      <c r="A18" s="8" t="inlineStr">
        <is>
          <t xml:space="preserve">One row per court. Choose the venue code from the list.</t>
        </is>
      </c>
    </row>
    <row r="19" ht="33" customHeight="1">
      <c r="A19" s="8" t="inlineStr">
        <is>
          <t xml:space="preserve">Court name: as the venue calls it, such as Court 1 or Center Court. Each name only once per venue, up to 80 characters, and at most 40 courts per venue.</t>
        </is>
      </c>
    </row>
    <row r="20" ht="33" customHeight="1">
      <c r="A20" s="8" t="inlineStr">
        <is>
          <t xml:space="preserve">Surface: Hard, Synthetic, Other, or Not sure. Indoor, Covered and Active: Yes or No. Set Active to No for a court that is closed for now. A venue needs at least one active court to be published.</t>
        </is>
      </c>
    </row>
    <row r="21" ht="18" customHeight="1">
      <c r="A21" s="8" t="inlineStr">
        <is>
          <t xml:space="preserve">Check fills itself and says OK when the row is complete.</t>
        </is>
      </c>
    </row>
    <row r="23" ht="20" customHeight="1">
      <c r="A23" s="7" t="inlineStr">
        <is>
          <t xml:space="preserve">Not collected here</t>
        </is>
      </c>
    </row>
    <row r="24" ht="33" customHeight="1">
      <c r="A24" s="8" t="inlineStr">
        <is>
          <t xml:space="preserve">Hours, photos and session prices: the venue owner adds these in the app after claiming the listing. Write anything useful in Notes; Notes are never imported.</t>
        </is>
      </c>
    </row>
    <row r="25" ht="18" customHeight="1">
      <c r="A25" s="8" t="inlineStr">
        <is>
          <t xml:space="preserve">Phone numbers and websites are not shown in the app, so they only go on Permissions.</t>
        </is>
      </c>
    </row>
    <row r="27" ht="20" customHeight="1">
      <c r="A27" s="7" t="inlineStr">
        <is>
          <t xml:space="preserve">Privacy</t>
        </is>
      </c>
    </row>
    <row r="28" ht="33" customHeight="1">
      <c r="A28" s="8" t="inlineStr">
        <is>
          <t xml:space="preserve">Permissions holds personal contact details. Keep the filled file private: save it outside git (for example in the ignored venue-data folder in the project) and never share it publicly.</t>
        </is>
      </c>
    </row>
    <row r="29" ht="33" customHeight="1">
      <c r="A29" s="8" t="inlineStr">
        <is>
          <t xml:space="preserve">When you hand the file over for import, send a copy with the Permissions sheet deleted. Only Venues and Courts are needed.</t>
        </is>
      </c>
    </row>
    <row r="31" ht="20" customHeight="1">
      <c r="A31" s="7" t="inlineStr">
        <is>
          <t xml:space="preserve">Example (fictional, do not import)</t>
        </is>
      </c>
    </row>
    <row r="32" ht="33" customHeight="1">
      <c r="A32" s="8" t="inlineStr">
        <is>
          <t xml:space="preserve">Venues: EX-001 | Sample – Riverside Courts | 12 Example Street, Barangay Uno (not a real venue) | Pasig | Metro Manila | NCR – Metro Manila | 14.5764 | 121.0851 | Owner or manager | Yes</t>
        </is>
      </c>
    </row>
    <row r="33" ht="18" customHeight="1">
      <c r="A33" s="8" t="inlineStr">
        <is>
          <t xml:space="preserve">Courts: EX-001 | Court 1 | Hard | No | Yes | Yes</t>
        </is>
      </c>
    </row>
    <row r="34" ht="18" customHeight="1">
      <c r="A34" s="8" t="inlineStr">
        <is>
          <t xml:space="preserve">Courts: EX-001 | Court 2 | Synthetic | Yes | Yes | Yes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5"/>
  <cols>
    <col min="1" max="1" width="14" style="2" customWidth="1"/>
    <col min="2" max="2" width="34" style="2" customWidth="1"/>
    <col min="3" max="3" width="44" style="2" customWidth="1"/>
    <col min="4" max="4" width="22" style="2" customWidth="1"/>
    <col min="5" max="5" width="20" style="2" customWidth="1"/>
    <col min="6" max="6" width="24" customWidth="1"/>
    <col min="7" max="7" width="13" style="3" customWidth="1"/>
    <col min="8" max="8" width="13" style="3" customWidth="1"/>
    <col min="9" max="9" width="19" customWidth="1"/>
    <col min="10" max="10" width="14" customWidth="1"/>
    <col min="11" max="11" width="11" style="4" customWidth="1"/>
    <col min="12" max="12" width="11" style="4" customWidth="1"/>
    <col min="13" max="13" width="28" style="4" customWidth="1"/>
    <col min="14" max="14" width="40" style="2" customWidth="1"/>
  </cols>
  <sheetData>
    <row r="1" ht="32" customHeight="1">
      <c r="A1" s="1" t="inlineStr">
        <is>
          <t xml:space="preserve">Venue code *</t>
        </is>
      </c>
      <c r="B1" s="1" t="inlineStr">
        <is>
          <t xml:space="preserve">Venue name *</t>
        </is>
      </c>
      <c r="C1" s="1" t="inlineStr">
        <is>
          <t xml:space="preserve">Street address *</t>
        </is>
      </c>
      <c r="D1" s="1" t="inlineStr">
        <is>
          <t xml:space="preserve">City or municipality *</t>
        </is>
      </c>
      <c r="E1" s="1" t="inlineStr">
        <is>
          <t xml:space="preserve">Province *</t>
        </is>
      </c>
      <c r="F1" s="1" t="inlineStr">
        <is>
          <t xml:space="preserve">Region</t>
        </is>
      </c>
      <c r="G1" s="1" t="inlineStr">
        <is>
          <t xml:space="preserve">Latitude *</t>
        </is>
      </c>
      <c r="H1" s="1" t="inlineStr">
        <is>
          <t xml:space="preserve">Longitude *</t>
        </is>
      </c>
      <c r="I1" s="1" t="inlineStr">
        <is>
          <t xml:space="preserve">Pin checked by *</t>
        </is>
      </c>
      <c r="J1" s="1" t="inlineStr">
        <is>
          <t xml:space="preserve">Permission to list *</t>
        </is>
      </c>
      <c r="K1" s="9" t="inlineStr">
        <is>
          <t xml:space="preserve">Courts listed (auto)</t>
        </is>
      </c>
      <c r="L1" s="9" t="inlineStr">
        <is>
          <t xml:space="preserve">Active courts (auto)</t>
        </is>
      </c>
      <c r="M1" s="9" t="inlineStr">
        <is>
          <t xml:space="preserve">Status (auto)</t>
        </is>
      </c>
      <c r="N1" s="1" t="inlineStr">
        <is>
          <t xml:space="preserve">Notes (not imported)</t>
        </is>
      </c>
    </row>
    <row r="2">
      <c r="K2" s="4">
        <f>IF(A2="","",COUNTIF(Courts!$A$2:$A$1001,A2))</f>
      </c>
      <c r="L2" s="4">
        <f>IF(A2="","",COUNTIFS(Courts!$A$2:$A$1001,A2,Courts!$F$2:$F$1001,"Yes"))</f>
      </c>
      <c r="M2" s="4">
        <f>IF(A2="","",IF(COUNTIF($A$2:$A$201,A2)&gt;1,"Duplicate venue code",IF(OR(B2="",C2="",D2="",E2="",G2="",H2="",I2="",J2=""),"Missing details",IF(OR(LEN(A2)&gt;40,LEN(B2)&gt;120,LEN(C2)&gt;240,LEN(D2)&gt;80,LEN(E2)&gt;80),"Text too long",IF(OR(NOT(ISNUMBER(G2)),NOT(ISNUMBER(H2))),"Pin must be two numbers",IF(OR(G2&lt;4,G2&gt;21.5,H2&lt;116,H2&gt;127),"Pin outside the Philippines",IF(J2="No","No permission: do not import",IF(J2&lt;&gt;"Yes","Waiting for permission",IF(AND(I2&lt;&gt;"Owner or manager",I2&lt;&gt;"Site visit"),"Confirm the pin",IF(K2=0,"Add its courts",IF(K2&gt;40,"Over 40 courts",IF(COUNTIFS(Courts!$A$2:$A$1001,A2,Courts!$G$2:$G$1001,"&lt;&gt;OK")&gt;0,"Fix its courts",IF(L2=0,"Needs an active court","Ready")))))))))))))</f>
      </c>
    </row>
    <row r="3">
      <c r="K3" s="4">
        <f>IF(A3="","",COUNTIF(Courts!$A$2:$A$1001,A3))</f>
      </c>
      <c r="L3" s="4">
        <f>IF(A3="","",COUNTIFS(Courts!$A$2:$A$1001,A3,Courts!$F$2:$F$1001,"Yes"))</f>
      </c>
      <c r="M3" s="4">
        <f>IF(A3="","",IF(COUNTIF($A$2:$A$201,A3)&gt;1,"Duplicate venue code",IF(OR(B3="",C3="",D3="",E3="",G3="",H3="",I3="",J3=""),"Missing details",IF(OR(LEN(A3)&gt;40,LEN(B3)&gt;120,LEN(C3)&gt;240,LEN(D3)&gt;80,LEN(E3)&gt;80),"Text too long",IF(OR(NOT(ISNUMBER(G3)),NOT(ISNUMBER(H3))),"Pin must be two numbers",IF(OR(G3&lt;4,G3&gt;21.5,H3&lt;116,H3&gt;127),"Pin outside the Philippines",IF(J3="No","No permission: do not import",IF(J3&lt;&gt;"Yes","Waiting for permission",IF(AND(I3&lt;&gt;"Owner or manager",I3&lt;&gt;"Site visit"),"Confirm the pin",IF(K3=0,"Add its courts",IF(K3&gt;40,"Over 40 courts",IF(COUNTIFS(Courts!$A$2:$A$1001,A3,Courts!$G$2:$G$1001,"&lt;&gt;OK")&gt;0,"Fix its courts",IF(L3=0,"Needs an active court","Ready")))))))))))))</f>
      </c>
    </row>
    <row r="4">
      <c r="K4" s="4">
        <f>IF(A4="","",COUNTIF(Courts!$A$2:$A$1001,A4))</f>
      </c>
      <c r="L4" s="4">
        <f>IF(A4="","",COUNTIFS(Courts!$A$2:$A$1001,A4,Courts!$F$2:$F$1001,"Yes"))</f>
      </c>
      <c r="M4" s="4">
        <f>IF(A4="","",IF(COUNTIF($A$2:$A$201,A4)&gt;1,"Duplicate venue code",IF(OR(B4="",C4="",D4="",E4="",G4="",H4="",I4="",J4=""),"Missing details",IF(OR(LEN(A4)&gt;40,LEN(B4)&gt;120,LEN(C4)&gt;240,LEN(D4)&gt;80,LEN(E4)&gt;80),"Text too long",IF(OR(NOT(ISNUMBER(G4)),NOT(ISNUMBER(H4))),"Pin must be two numbers",IF(OR(G4&lt;4,G4&gt;21.5,H4&lt;116,H4&gt;127),"Pin outside the Philippines",IF(J4="No","No permission: do not import",IF(J4&lt;&gt;"Yes","Waiting for permission",IF(AND(I4&lt;&gt;"Owner or manager",I4&lt;&gt;"Site visit"),"Confirm the pin",IF(K4=0,"Add its courts",IF(K4&gt;40,"Over 40 courts",IF(COUNTIFS(Courts!$A$2:$A$1001,A4,Courts!$G$2:$G$1001,"&lt;&gt;OK")&gt;0,"Fix its courts",IF(L4=0,"Needs an active court","Ready")))))))))))))</f>
      </c>
    </row>
    <row r="5">
      <c r="K5" s="4">
        <f>IF(A5="","",COUNTIF(Courts!$A$2:$A$1001,A5))</f>
      </c>
      <c r="L5" s="4">
        <f>IF(A5="","",COUNTIFS(Courts!$A$2:$A$1001,A5,Courts!$F$2:$F$1001,"Yes"))</f>
      </c>
      <c r="M5" s="4">
        <f>IF(A5="","",IF(COUNTIF($A$2:$A$201,A5)&gt;1,"Duplicate venue code",IF(OR(B5="",C5="",D5="",E5="",G5="",H5="",I5="",J5=""),"Missing details",IF(OR(LEN(A5)&gt;40,LEN(B5)&gt;120,LEN(C5)&gt;240,LEN(D5)&gt;80,LEN(E5)&gt;80),"Text too long",IF(OR(NOT(ISNUMBER(G5)),NOT(ISNUMBER(H5))),"Pin must be two numbers",IF(OR(G5&lt;4,G5&gt;21.5,H5&lt;116,H5&gt;127),"Pin outside the Philippines",IF(J5="No","No permission: do not import",IF(J5&lt;&gt;"Yes","Waiting for permission",IF(AND(I5&lt;&gt;"Owner or manager",I5&lt;&gt;"Site visit"),"Confirm the pin",IF(K5=0,"Add its courts",IF(K5&gt;40,"Over 40 courts",IF(COUNTIFS(Courts!$A$2:$A$1001,A5,Courts!$G$2:$G$1001,"&lt;&gt;OK")&gt;0,"Fix its courts",IF(L5=0,"Needs an active court","Ready")))))))))))))</f>
      </c>
    </row>
    <row r="6">
      <c r="K6" s="4">
        <f>IF(A6="","",COUNTIF(Courts!$A$2:$A$1001,A6))</f>
      </c>
      <c r="L6" s="4">
        <f>IF(A6="","",COUNTIFS(Courts!$A$2:$A$1001,A6,Courts!$F$2:$F$1001,"Yes"))</f>
      </c>
      <c r="M6" s="4">
        <f>IF(A6="","",IF(COUNTIF($A$2:$A$201,A6)&gt;1,"Duplicate venue code",IF(OR(B6="",C6="",D6="",E6="",G6="",H6="",I6="",J6=""),"Missing details",IF(OR(LEN(A6)&gt;40,LEN(B6)&gt;120,LEN(C6)&gt;240,LEN(D6)&gt;80,LEN(E6)&gt;80),"Text too long",IF(OR(NOT(ISNUMBER(G6)),NOT(ISNUMBER(H6))),"Pin must be two numbers",IF(OR(G6&lt;4,G6&gt;21.5,H6&lt;116,H6&gt;127),"Pin outside the Philippines",IF(J6="No","No permission: do not import",IF(J6&lt;&gt;"Yes","Waiting for permission",IF(AND(I6&lt;&gt;"Owner or manager",I6&lt;&gt;"Site visit"),"Confirm the pin",IF(K6=0,"Add its courts",IF(K6&gt;40,"Over 40 courts",IF(COUNTIFS(Courts!$A$2:$A$1001,A6,Courts!$G$2:$G$1001,"&lt;&gt;OK")&gt;0,"Fix its courts",IF(L6=0,"Needs an active court","Ready")))))))))))))</f>
      </c>
    </row>
    <row r="7">
      <c r="K7" s="4">
        <f>IF(A7="","",COUNTIF(Courts!$A$2:$A$1001,A7))</f>
      </c>
      <c r="L7" s="4">
        <f>IF(A7="","",COUNTIFS(Courts!$A$2:$A$1001,A7,Courts!$F$2:$F$1001,"Yes"))</f>
      </c>
      <c r="M7" s="4">
        <f>IF(A7="","",IF(COUNTIF($A$2:$A$201,A7)&gt;1,"Duplicate venue code",IF(OR(B7="",C7="",D7="",E7="",G7="",H7="",I7="",J7=""),"Missing details",IF(OR(LEN(A7)&gt;40,LEN(B7)&gt;120,LEN(C7)&gt;240,LEN(D7)&gt;80,LEN(E7)&gt;80),"Text too long",IF(OR(NOT(ISNUMBER(G7)),NOT(ISNUMBER(H7))),"Pin must be two numbers",IF(OR(G7&lt;4,G7&gt;21.5,H7&lt;116,H7&gt;127),"Pin outside the Philippines",IF(J7="No","No permission: do not import",IF(J7&lt;&gt;"Yes","Waiting for permission",IF(AND(I7&lt;&gt;"Owner or manager",I7&lt;&gt;"Site visit"),"Confirm the pin",IF(K7=0,"Add its courts",IF(K7&gt;40,"Over 40 courts",IF(COUNTIFS(Courts!$A$2:$A$1001,A7,Courts!$G$2:$G$1001,"&lt;&gt;OK")&gt;0,"Fix its courts",IF(L7=0,"Needs an active court","Ready")))))))))))))</f>
      </c>
    </row>
    <row r="8">
      <c r="K8" s="4">
        <f>IF(A8="","",COUNTIF(Courts!$A$2:$A$1001,A8))</f>
      </c>
      <c r="L8" s="4">
        <f>IF(A8="","",COUNTIFS(Courts!$A$2:$A$1001,A8,Courts!$F$2:$F$1001,"Yes"))</f>
      </c>
      <c r="M8" s="4">
        <f>IF(A8="","",IF(COUNTIF($A$2:$A$201,A8)&gt;1,"Duplicate venue code",IF(OR(B8="",C8="",D8="",E8="",G8="",H8="",I8="",J8=""),"Missing details",IF(OR(LEN(A8)&gt;40,LEN(B8)&gt;120,LEN(C8)&gt;240,LEN(D8)&gt;80,LEN(E8)&gt;80),"Text too long",IF(OR(NOT(ISNUMBER(G8)),NOT(ISNUMBER(H8))),"Pin must be two numbers",IF(OR(G8&lt;4,G8&gt;21.5,H8&lt;116,H8&gt;127),"Pin outside the Philippines",IF(J8="No","No permission: do not import",IF(J8&lt;&gt;"Yes","Waiting for permission",IF(AND(I8&lt;&gt;"Owner or manager",I8&lt;&gt;"Site visit"),"Confirm the pin",IF(K8=0,"Add its courts",IF(K8&gt;40,"Over 40 courts",IF(COUNTIFS(Courts!$A$2:$A$1001,A8,Courts!$G$2:$G$1001,"&lt;&gt;OK")&gt;0,"Fix its courts",IF(L8=0,"Needs an active court","Ready")))))))))))))</f>
      </c>
    </row>
    <row r="9">
      <c r="K9" s="4">
        <f>IF(A9="","",COUNTIF(Courts!$A$2:$A$1001,A9))</f>
      </c>
      <c r="L9" s="4">
        <f>IF(A9="","",COUNTIFS(Courts!$A$2:$A$1001,A9,Courts!$F$2:$F$1001,"Yes"))</f>
      </c>
      <c r="M9" s="4">
        <f>IF(A9="","",IF(COUNTIF($A$2:$A$201,A9)&gt;1,"Duplicate venue code",IF(OR(B9="",C9="",D9="",E9="",G9="",H9="",I9="",J9=""),"Missing details",IF(OR(LEN(A9)&gt;40,LEN(B9)&gt;120,LEN(C9)&gt;240,LEN(D9)&gt;80,LEN(E9)&gt;80),"Text too long",IF(OR(NOT(ISNUMBER(G9)),NOT(ISNUMBER(H9))),"Pin must be two numbers",IF(OR(G9&lt;4,G9&gt;21.5,H9&lt;116,H9&gt;127),"Pin outside the Philippines",IF(J9="No","No permission: do not import",IF(J9&lt;&gt;"Yes","Waiting for permission",IF(AND(I9&lt;&gt;"Owner or manager",I9&lt;&gt;"Site visit"),"Confirm the pin",IF(K9=0,"Add its courts",IF(K9&gt;40,"Over 40 courts",IF(COUNTIFS(Courts!$A$2:$A$1001,A9,Courts!$G$2:$G$1001,"&lt;&gt;OK")&gt;0,"Fix its courts",IF(L9=0,"Needs an active court","Ready")))))))))))))</f>
      </c>
    </row>
    <row r="10">
      <c r="K10" s="4">
        <f>IF(A10="","",COUNTIF(Courts!$A$2:$A$1001,A10))</f>
      </c>
      <c r="L10" s="4">
        <f>IF(A10="","",COUNTIFS(Courts!$A$2:$A$1001,A10,Courts!$F$2:$F$1001,"Yes"))</f>
      </c>
      <c r="M10" s="4">
        <f>IF(A10="","",IF(COUNTIF($A$2:$A$201,A10)&gt;1,"Duplicate venue code",IF(OR(B10="",C10="",D10="",E10="",G10="",H10="",I10="",J10=""),"Missing details",IF(OR(LEN(A10)&gt;40,LEN(B10)&gt;120,LEN(C10)&gt;240,LEN(D10)&gt;80,LEN(E10)&gt;80),"Text too long",IF(OR(NOT(ISNUMBER(G10)),NOT(ISNUMBER(H10))),"Pin must be two numbers",IF(OR(G10&lt;4,G10&gt;21.5,H10&lt;116,H10&gt;127),"Pin outside the Philippines",IF(J10="No","No permission: do not import",IF(J10&lt;&gt;"Yes","Waiting for permission",IF(AND(I10&lt;&gt;"Owner or manager",I10&lt;&gt;"Site visit"),"Confirm the pin",IF(K10=0,"Add its courts",IF(K10&gt;40,"Over 40 courts",IF(COUNTIFS(Courts!$A$2:$A$1001,A10,Courts!$G$2:$G$1001,"&lt;&gt;OK")&gt;0,"Fix its courts",IF(L10=0,"Needs an active court","Ready")))))))))))))</f>
      </c>
    </row>
    <row r="11">
      <c r="K11" s="4">
        <f>IF(A11="","",COUNTIF(Courts!$A$2:$A$1001,A11))</f>
      </c>
      <c r="L11" s="4">
        <f>IF(A11="","",COUNTIFS(Courts!$A$2:$A$1001,A11,Courts!$F$2:$F$1001,"Yes"))</f>
      </c>
      <c r="M11" s="4">
        <f>IF(A11="","",IF(COUNTIF($A$2:$A$201,A11)&gt;1,"Duplicate venue code",IF(OR(B11="",C11="",D11="",E11="",G11="",H11="",I11="",J11=""),"Missing details",IF(OR(LEN(A11)&gt;40,LEN(B11)&gt;120,LEN(C11)&gt;240,LEN(D11)&gt;80,LEN(E11)&gt;80),"Text too long",IF(OR(NOT(ISNUMBER(G11)),NOT(ISNUMBER(H11))),"Pin must be two numbers",IF(OR(G11&lt;4,G11&gt;21.5,H11&lt;116,H11&gt;127),"Pin outside the Philippines",IF(J11="No","No permission: do not import",IF(J11&lt;&gt;"Yes","Waiting for permission",IF(AND(I11&lt;&gt;"Owner or manager",I11&lt;&gt;"Site visit"),"Confirm the pin",IF(K11=0,"Add its courts",IF(K11&gt;40,"Over 40 courts",IF(COUNTIFS(Courts!$A$2:$A$1001,A11,Courts!$G$2:$G$1001,"&lt;&gt;OK")&gt;0,"Fix its courts",IF(L11=0,"Needs an active court","Ready")))))))))))))</f>
      </c>
    </row>
    <row r="12">
      <c r="K12" s="4">
        <f>IF(A12="","",COUNTIF(Courts!$A$2:$A$1001,A12))</f>
      </c>
      <c r="L12" s="4">
        <f>IF(A12="","",COUNTIFS(Courts!$A$2:$A$1001,A12,Courts!$F$2:$F$1001,"Yes"))</f>
      </c>
      <c r="M12" s="4">
        <f>IF(A12="","",IF(COUNTIF($A$2:$A$201,A12)&gt;1,"Duplicate venue code",IF(OR(B12="",C12="",D12="",E12="",G12="",H12="",I12="",J12=""),"Missing details",IF(OR(LEN(A12)&gt;40,LEN(B12)&gt;120,LEN(C12)&gt;240,LEN(D12)&gt;80,LEN(E12)&gt;80),"Text too long",IF(OR(NOT(ISNUMBER(G12)),NOT(ISNUMBER(H12))),"Pin must be two numbers",IF(OR(G12&lt;4,G12&gt;21.5,H12&lt;116,H12&gt;127),"Pin outside the Philippines",IF(J12="No","No permission: do not import",IF(J12&lt;&gt;"Yes","Waiting for permission",IF(AND(I12&lt;&gt;"Owner or manager",I12&lt;&gt;"Site visit"),"Confirm the pin",IF(K12=0,"Add its courts",IF(K12&gt;40,"Over 40 courts",IF(COUNTIFS(Courts!$A$2:$A$1001,A12,Courts!$G$2:$G$1001,"&lt;&gt;OK")&gt;0,"Fix its courts",IF(L12=0,"Needs an active court","Ready")))))))))))))</f>
      </c>
    </row>
    <row r="13">
      <c r="K13" s="4">
        <f>IF(A13="","",COUNTIF(Courts!$A$2:$A$1001,A13))</f>
      </c>
      <c r="L13" s="4">
        <f>IF(A13="","",COUNTIFS(Courts!$A$2:$A$1001,A13,Courts!$F$2:$F$1001,"Yes"))</f>
      </c>
      <c r="M13" s="4">
        <f>IF(A13="","",IF(COUNTIF($A$2:$A$201,A13)&gt;1,"Duplicate venue code",IF(OR(B13="",C13="",D13="",E13="",G13="",H13="",I13="",J13=""),"Missing details",IF(OR(LEN(A13)&gt;40,LEN(B13)&gt;120,LEN(C13)&gt;240,LEN(D13)&gt;80,LEN(E13)&gt;80),"Text too long",IF(OR(NOT(ISNUMBER(G13)),NOT(ISNUMBER(H13))),"Pin must be two numbers",IF(OR(G13&lt;4,G13&gt;21.5,H13&lt;116,H13&gt;127),"Pin outside the Philippines",IF(J13="No","No permission: do not import",IF(J13&lt;&gt;"Yes","Waiting for permission",IF(AND(I13&lt;&gt;"Owner or manager",I13&lt;&gt;"Site visit"),"Confirm the pin",IF(K13=0,"Add its courts",IF(K13&gt;40,"Over 40 courts",IF(COUNTIFS(Courts!$A$2:$A$1001,A13,Courts!$G$2:$G$1001,"&lt;&gt;OK")&gt;0,"Fix its courts",IF(L13=0,"Needs an active court","Ready")))))))))))))</f>
      </c>
    </row>
    <row r="14">
      <c r="K14" s="4">
        <f>IF(A14="","",COUNTIF(Courts!$A$2:$A$1001,A14))</f>
      </c>
      <c r="L14" s="4">
        <f>IF(A14="","",COUNTIFS(Courts!$A$2:$A$1001,A14,Courts!$F$2:$F$1001,"Yes"))</f>
      </c>
      <c r="M14" s="4">
        <f>IF(A14="","",IF(COUNTIF($A$2:$A$201,A14)&gt;1,"Duplicate venue code",IF(OR(B14="",C14="",D14="",E14="",G14="",H14="",I14="",J14=""),"Missing details",IF(OR(LEN(A14)&gt;40,LEN(B14)&gt;120,LEN(C14)&gt;240,LEN(D14)&gt;80,LEN(E14)&gt;80),"Text too long",IF(OR(NOT(ISNUMBER(G14)),NOT(ISNUMBER(H14))),"Pin must be two numbers",IF(OR(G14&lt;4,G14&gt;21.5,H14&lt;116,H14&gt;127),"Pin outside the Philippines",IF(J14="No","No permission: do not import",IF(J14&lt;&gt;"Yes","Waiting for permission",IF(AND(I14&lt;&gt;"Owner or manager",I14&lt;&gt;"Site visit"),"Confirm the pin",IF(K14=0,"Add its courts",IF(K14&gt;40,"Over 40 courts",IF(COUNTIFS(Courts!$A$2:$A$1001,A14,Courts!$G$2:$G$1001,"&lt;&gt;OK")&gt;0,"Fix its courts",IF(L14=0,"Needs an active court","Ready")))))))))))))</f>
      </c>
    </row>
    <row r="15">
      <c r="K15" s="4">
        <f>IF(A15="","",COUNTIF(Courts!$A$2:$A$1001,A15))</f>
      </c>
      <c r="L15" s="4">
        <f>IF(A15="","",COUNTIFS(Courts!$A$2:$A$1001,A15,Courts!$F$2:$F$1001,"Yes"))</f>
      </c>
      <c r="M15" s="4">
        <f>IF(A15="","",IF(COUNTIF($A$2:$A$201,A15)&gt;1,"Duplicate venue code",IF(OR(B15="",C15="",D15="",E15="",G15="",H15="",I15="",J15=""),"Missing details",IF(OR(LEN(A15)&gt;40,LEN(B15)&gt;120,LEN(C15)&gt;240,LEN(D15)&gt;80,LEN(E15)&gt;80),"Text too long",IF(OR(NOT(ISNUMBER(G15)),NOT(ISNUMBER(H15))),"Pin must be two numbers",IF(OR(G15&lt;4,G15&gt;21.5,H15&lt;116,H15&gt;127),"Pin outside the Philippines",IF(J15="No","No permission: do not import",IF(J15&lt;&gt;"Yes","Waiting for permission",IF(AND(I15&lt;&gt;"Owner or manager",I15&lt;&gt;"Site visit"),"Confirm the pin",IF(K15=0,"Add its courts",IF(K15&gt;40,"Over 40 courts",IF(COUNTIFS(Courts!$A$2:$A$1001,A15,Courts!$G$2:$G$1001,"&lt;&gt;OK")&gt;0,"Fix its courts",IF(L15=0,"Needs an active court","Ready")))))))))))))</f>
      </c>
    </row>
    <row r="16">
      <c r="K16" s="4">
        <f>IF(A16="","",COUNTIF(Courts!$A$2:$A$1001,A16))</f>
      </c>
      <c r="L16" s="4">
        <f>IF(A16="","",COUNTIFS(Courts!$A$2:$A$1001,A16,Courts!$F$2:$F$1001,"Yes"))</f>
      </c>
      <c r="M16" s="4">
        <f>IF(A16="","",IF(COUNTIF($A$2:$A$201,A16)&gt;1,"Duplicate venue code",IF(OR(B16="",C16="",D16="",E16="",G16="",H16="",I16="",J16=""),"Missing details",IF(OR(LEN(A16)&gt;40,LEN(B16)&gt;120,LEN(C16)&gt;240,LEN(D16)&gt;80,LEN(E16)&gt;80),"Text too long",IF(OR(NOT(ISNUMBER(G16)),NOT(ISNUMBER(H16))),"Pin must be two numbers",IF(OR(G16&lt;4,G16&gt;21.5,H16&lt;116,H16&gt;127),"Pin outside the Philippines",IF(J16="No","No permission: do not import",IF(J16&lt;&gt;"Yes","Waiting for permission",IF(AND(I16&lt;&gt;"Owner or manager",I16&lt;&gt;"Site visit"),"Confirm the pin",IF(K16=0,"Add its courts",IF(K16&gt;40,"Over 40 courts",IF(COUNTIFS(Courts!$A$2:$A$1001,A16,Courts!$G$2:$G$1001,"&lt;&gt;OK")&gt;0,"Fix its courts",IF(L16=0,"Needs an active court","Ready")))))))))))))</f>
      </c>
    </row>
    <row r="17">
      <c r="K17" s="4">
        <f>IF(A17="","",COUNTIF(Courts!$A$2:$A$1001,A17))</f>
      </c>
      <c r="L17" s="4">
        <f>IF(A17="","",COUNTIFS(Courts!$A$2:$A$1001,A17,Courts!$F$2:$F$1001,"Yes"))</f>
      </c>
      <c r="M17" s="4">
        <f>IF(A17="","",IF(COUNTIF($A$2:$A$201,A17)&gt;1,"Duplicate venue code",IF(OR(B17="",C17="",D17="",E17="",G17="",H17="",I17="",J17=""),"Missing details",IF(OR(LEN(A17)&gt;40,LEN(B17)&gt;120,LEN(C17)&gt;240,LEN(D17)&gt;80,LEN(E17)&gt;80),"Text too long",IF(OR(NOT(ISNUMBER(G17)),NOT(ISNUMBER(H17))),"Pin must be two numbers",IF(OR(G17&lt;4,G17&gt;21.5,H17&lt;116,H17&gt;127),"Pin outside the Philippines",IF(J17="No","No permission: do not import",IF(J17&lt;&gt;"Yes","Waiting for permission",IF(AND(I17&lt;&gt;"Owner or manager",I17&lt;&gt;"Site visit"),"Confirm the pin",IF(K17=0,"Add its courts",IF(K17&gt;40,"Over 40 courts",IF(COUNTIFS(Courts!$A$2:$A$1001,A17,Courts!$G$2:$G$1001,"&lt;&gt;OK")&gt;0,"Fix its courts",IF(L17=0,"Needs an active court","Ready")))))))))))))</f>
      </c>
    </row>
    <row r="18">
      <c r="K18" s="4">
        <f>IF(A18="","",COUNTIF(Courts!$A$2:$A$1001,A18))</f>
      </c>
      <c r="L18" s="4">
        <f>IF(A18="","",COUNTIFS(Courts!$A$2:$A$1001,A18,Courts!$F$2:$F$1001,"Yes"))</f>
      </c>
      <c r="M18" s="4">
        <f>IF(A18="","",IF(COUNTIF($A$2:$A$201,A18)&gt;1,"Duplicate venue code",IF(OR(B18="",C18="",D18="",E18="",G18="",H18="",I18="",J18=""),"Missing details",IF(OR(LEN(A18)&gt;40,LEN(B18)&gt;120,LEN(C18)&gt;240,LEN(D18)&gt;80,LEN(E18)&gt;80),"Text too long",IF(OR(NOT(ISNUMBER(G18)),NOT(ISNUMBER(H18))),"Pin must be two numbers",IF(OR(G18&lt;4,G18&gt;21.5,H18&lt;116,H18&gt;127),"Pin outside the Philippines",IF(J18="No","No permission: do not import",IF(J18&lt;&gt;"Yes","Waiting for permission",IF(AND(I18&lt;&gt;"Owner or manager",I18&lt;&gt;"Site visit"),"Confirm the pin",IF(K18=0,"Add its courts",IF(K18&gt;40,"Over 40 courts",IF(COUNTIFS(Courts!$A$2:$A$1001,A18,Courts!$G$2:$G$1001,"&lt;&gt;OK")&gt;0,"Fix its courts",IF(L18=0,"Needs an active court","Ready")))))))))))))</f>
      </c>
    </row>
    <row r="19">
      <c r="K19" s="4">
        <f>IF(A19="","",COUNTIF(Courts!$A$2:$A$1001,A19))</f>
      </c>
      <c r="L19" s="4">
        <f>IF(A19="","",COUNTIFS(Courts!$A$2:$A$1001,A19,Courts!$F$2:$F$1001,"Yes"))</f>
      </c>
      <c r="M19" s="4">
        <f>IF(A19="","",IF(COUNTIF($A$2:$A$201,A19)&gt;1,"Duplicate venue code",IF(OR(B19="",C19="",D19="",E19="",G19="",H19="",I19="",J19=""),"Missing details",IF(OR(LEN(A19)&gt;40,LEN(B19)&gt;120,LEN(C19)&gt;240,LEN(D19)&gt;80,LEN(E19)&gt;80),"Text too long",IF(OR(NOT(ISNUMBER(G19)),NOT(ISNUMBER(H19))),"Pin must be two numbers",IF(OR(G19&lt;4,G19&gt;21.5,H19&lt;116,H19&gt;127),"Pin outside the Philippines",IF(J19="No","No permission: do not import",IF(J19&lt;&gt;"Yes","Waiting for permission",IF(AND(I19&lt;&gt;"Owner or manager",I19&lt;&gt;"Site visit"),"Confirm the pin",IF(K19=0,"Add its courts",IF(K19&gt;40,"Over 40 courts",IF(COUNTIFS(Courts!$A$2:$A$1001,A19,Courts!$G$2:$G$1001,"&lt;&gt;OK")&gt;0,"Fix its courts",IF(L19=0,"Needs an active court","Ready")))))))))))))</f>
      </c>
    </row>
    <row r="20">
      <c r="K20" s="4">
        <f>IF(A20="","",COUNTIF(Courts!$A$2:$A$1001,A20))</f>
      </c>
      <c r="L20" s="4">
        <f>IF(A20="","",COUNTIFS(Courts!$A$2:$A$1001,A20,Courts!$F$2:$F$1001,"Yes"))</f>
      </c>
      <c r="M20" s="4">
        <f>IF(A20="","",IF(COUNTIF($A$2:$A$201,A20)&gt;1,"Duplicate venue code",IF(OR(B20="",C20="",D20="",E20="",G20="",H20="",I20="",J20=""),"Missing details",IF(OR(LEN(A20)&gt;40,LEN(B20)&gt;120,LEN(C20)&gt;240,LEN(D20)&gt;80,LEN(E20)&gt;80),"Text too long",IF(OR(NOT(ISNUMBER(G20)),NOT(ISNUMBER(H20))),"Pin must be two numbers",IF(OR(G20&lt;4,G20&gt;21.5,H20&lt;116,H20&gt;127),"Pin outside the Philippines",IF(J20="No","No permission: do not import",IF(J20&lt;&gt;"Yes","Waiting for permission",IF(AND(I20&lt;&gt;"Owner or manager",I20&lt;&gt;"Site visit"),"Confirm the pin",IF(K20=0,"Add its courts",IF(K20&gt;40,"Over 40 courts",IF(COUNTIFS(Courts!$A$2:$A$1001,A20,Courts!$G$2:$G$1001,"&lt;&gt;OK")&gt;0,"Fix its courts",IF(L20=0,"Needs an active court","Ready")))))))))))))</f>
      </c>
    </row>
    <row r="21">
      <c r="K21" s="4">
        <f>IF(A21="","",COUNTIF(Courts!$A$2:$A$1001,A21))</f>
      </c>
      <c r="L21" s="4">
        <f>IF(A21="","",COUNTIFS(Courts!$A$2:$A$1001,A21,Courts!$F$2:$F$1001,"Yes"))</f>
      </c>
      <c r="M21" s="4">
        <f>IF(A21="","",IF(COUNTIF($A$2:$A$201,A21)&gt;1,"Duplicate venue code",IF(OR(B21="",C21="",D21="",E21="",G21="",H21="",I21="",J21=""),"Missing details",IF(OR(LEN(A21)&gt;40,LEN(B21)&gt;120,LEN(C21)&gt;240,LEN(D21)&gt;80,LEN(E21)&gt;80),"Text too long",IF(OR(NOT(ISNUMBER(G21)),NOT(ISNUMBER(H21))),"Pin must be two numbers",IF(OR(G21&lt;4,G21&gt;21.5,H21&lt;116,H21&gt;127),"Pin outside the Philippines",IF(J21="No","No permission: do not import",IF(J21&lt;&gt;"Yes","Waiting for permission",IF(AND(I21&lt;&gt;"Owner or manager",I21&lt;&gt;"Site visit"),"Confirm the pin",IF(K21=0,"Add its courts",IF(K21&gt;40,"Over 40 courts",IF(COUNTIFS(Courts!$A$2:$A$1001,A21,Courts!$G$2:$G$1001,"&lt;&gt;OK")&gt;0,"Fix its courts",IF(L21=0,"Needs an active court","Ready")))))))))))))</f>
      </c>
    </row>
    <row r="22">
      <c r="K22" s="4">
        <f>IF(A22="","",COUNTIF(Courts!$A$2:$A$1001,A22))</f>
      </c>
      <c r="L22" s="4">
        <f>IF(A22="","",COUNTIFS(Courts!$A$2:$A$1001,A22,Courts!$F$2:$F$1001,"Yes"))</f>
      </c>
      <c r="M22" s="4">
        <f>IF(A22="","",IF(COUNTIF($A$2:$A$201,A22)&gt;1,"Duplicate venue code",IF(OR(B22="",C22="",D22="",E22="",G22="",H22="",I22="",J22=""),"Missing details",IF(OR(LEN(A22)&gt;40,LEN(B22)&gt;120,LEN(C22)&gt;240,LEN(D22)&gt;80,LEN(E22)&gt;80),"Text too long",IF(OR(NOT(ISNUMBER(G22)),NOT(ISNUMBER(H22))),"Pin must be two numbers",IF(OR(G22&lt;4,G22&gt;21.5,H22&lt;116,H22&gt;127),"Pin outside the Philippines",IF(J22="No","No permission: do not import",IF(J22&lt;&gt;"Yes","Waiting for permission",IF(AND(I22&lt;&gt;"Owner or manager",I22&lt;&gt;"Site visit"),"Confirm the pin",IF(K22=0,"Add its courts",IF(K22&gt;40,"Over 40 courts",IF(COUNTIFS(Courts!$A$2:$A$1001,A22,Courts!$G$2:$G$1001,"&lt;&gt;OK")&gt;0,"Fix its courts",IF(L22=0,"Needs an active court","Ready")))))))))))))</f>
      </c>
    </row>
    <row r="23">
      <c r="K23" s="4">
        <f>IF(A23="","",COUNTIF(Courts!$A$2:$A$1001,A23))</f>
      </c>
      <c r="L23" s="4">
        <f>IF(A23="","",COUNTIFS(Courts!$A$2:$A$1001,A23,Courts!$F$2:$F$1001,"Yes"))</f>
      </c>
      <c r="M23" s="4">
        <f>IF(A23="","",IF(COUNTIF($A$2:$A$201,A23)&gt;1,"Duplicate venue code",IF(OR(B23="",C23="",D23="",E23="",G23="",H23="",I23="",J23=""),"Missing details",IF(OR(LEN(A23)&gt;40,LEN(B23)&gt;120,LEN(C23)&gt;240,LEN(D23)&gt;80,LEN(E23)&gt;80),"Text too long",IF(OR(NOT(ISNUMBER(G23)),NOT(ISNUMBER(H23))),"Pin must be two numbers",IF(OR(G23&lt;4,G23&gt;21.5,H23&lt;116,H23&gt;127),"Pin outside the Philippines",IF(J23="No","No permission: do not import",IF(J23&lt;&gt;"Yes","Waiting for permission",IF(AND(I23&lt;&gt;"Owner or manager",I23&lt;&gt;"Site visit"),"Confirm the pin",IF(K23=0,"Add its courts",IF(K23&gt;40,"Over 40 courts",IF(COUNTIFS(Courts!$A$2:$A$1001,A23,Courts!$G$2:$G$1001,"&lt;&gt;OK")&gt;0,"Fix its courts",IF(L23=0,"Needs an active court","Ready")))))))))))))</f>
      </c>
    </row>
    <row r="24">
      <c r="K24" s="4">
        <f>IF(A24="","",COUNTIF(Courts!$A$2:$A$1001,A24))</f>
      </c>
      <c r="L24" s="4">
        <f>IF(A24="","",COUNTIFS(Courts!$A$2:$A$1001,A24,Courts!$F$2:$F$1001,"Yes"))</f>
      </c>
      <c r="M24" s="4">
        <f>IF(A24="","",IF(COUNTIF($A$2:$A$201,A24)&gt;1,"Duplicate venue code",IF(OR(B24="",C24="",D24="",E24="",G24="",H24="",I24="",J24=""),"Missing details",IF(OR(LEN(A24)&gt;40,LEN(B24)&gt;120,LEN(C24)&gt;240,LEN(D24)&gt;80,LEN(E24)&gt;80),"Text too long",IF(OR(NOT(ISNUMBER(G24)),NOT(ISNUMBER(H24))),"Pin must be two numbers",IF(OR(G24&lt;4,G24&gt;21.5,H24&lt;116,H24&gt;127),"Pin outside the Philippines",IF(J24="No","No permission: do not import",IF(J24&lt;&gt;"Yes","Waiting for permission",IF(AND(I24&lt;&gt;"Owner or manager",I24&lt;&gt;"Site visit"),"Confirm the pin",IF(K24=0,"Add its courts",IF(K24&gt;40,"Over 40 courts",IF(COUNTIFS(Courts!$A$2:$A$1001,A24,Courts!$G$2:$G$1001,"&lt;&gt;OK")&gt;0,"Fix its courts",IF(L24=0,"Needs an active court","Ready")))))))))))))</f>
      </c>
    </row>
    <row r="25">
      <c r="K25" s="4">
        <f>IF(A25="","",COUNTIF(Courts!$A$2:$A$1001,A25))</f>
      </c>
      <c r="L25" s="4">
        <f>IF(A25="","",COUNTIFS(Courts!$A$2:$A$1001,A25,Courts!$F$2:$F$1001,"Yes"))</f>
      </c>
      <c r="M25" s="4">
        <f>IF(A25="","",IF(COUNTIF($A$2:$A$201,A25)&gt;1,"Duplicate venue code",IF(OR(B25="",C25="",D25="",E25="",G25="",H25="",I25="",J25=""),"Missing details",IF(OR(LEN(A25)&gt;40,LEN(B25)&gt;120,LEN(C25)&gt;240,LEN(D25)&gt;80,LEN(E25)&gt;80),"Text too long",IF(OR(NOT(ISNUMBER(G25)),NOT(ISNUMBER(H25))),"Pin must be two numbers",IF(OR(G25&lt;4,G25&gt;21.5,H25&lt;116,H25&gt;127),"Pin outside the Philippines",IF(J25="No","No permission: do not import",IF(J25&lt;&gt;"Yes","Waiting for permission",IF(AND(I25&lt;&gt;"Owner or manager",I25&lt;&gt;"Site visit"),"Confirm the pin",IF(K25=0,"Add its courts",IF(K25&gt;40,"Over 40 courts",IF(COUNTIFS(Courts!$A$2:$A$1001,A25,Courts!$G$2:$G$1001,"&lt;&gt;OK")&gt;0,"Fix its courts",IF(L25=0,"Needs an active court","Ready")))))))))))))</f>
      </c>
    </row>
    <row r="26">
      <c r="K26" s="4">
        <f>IF(A26="","",COUNTIF(Courts!$A$2:$A$1001,A26))</f>
      </c>
      <c r="L26" s="4">
        <f>IF(A26="","",COUNTIFS(Courts!$A$2:$A$1001,A26,Courts!$F$2:$F$1001,"Yes"))</f>
      </c>
      <c r="M26" s="4">
        <f>IF(A26="","",IF(COUNTIF($A$2:$A$201,A26)&gt;1,"Duplicate venue code",IF(OR(B26="",C26="",D26="",E26="",G26="",H26="",I26="",J26=""),"Missing details",IF(OR(LEN(A26)&gt;40,LEN(B26)&gt;120,LEN(C26)&gt;240,LEN(D26)&gt;80,LEN(E26)&gt;80),"Text too long",IF(OR(NOT(ISNUMBER(G26)),NOT(ISNUMBER(H26))),"Pin must be two numbers",IF(OR(G26&lt;4,G26&gt;21.5,H26&lt;116,H26&gt;127),"Pin outside the Philippines",IF(J26="No","No permission: do not import",IF(J26&lt;&gt;"Yes","Waiting for permission",IF(AND(I26&lt;&gt;"Owner or manager",I26&lt;&gt;"Site visit"),"Confirm the pin",IF(K26=0,"Add its courts",IF(K26&gt;40,"Over 40 courts",IF(COUNTIFS(Courts!$A$2:$A$1001,A26,Courts!$G$2:$G$1001,"&lt;&gt;OK")&gt;0,"Fix its courts",IF(L26=0,"Needs an active court","Ready")))))))))))))</f>
      </c>
    </row>
    <row r="27">
      <c r="K27" s="4">
        <f>IF(A27="","",COUNTIF(Courts!$A$2:$A$1001,A27))</f>
      </c>
      <c r="L27" s="4">
        <f>IF(A27="","",COUNTIFS(Courts!$A$2:$A$1001,A27,Courts!$F$2:$F$1001,"Yes"))</f>
      </c>
      <c r="M27" s="4">
        <f>IF(A27="","",IF(COUNTIF($A$2:$A$201,A27)&gt;1,"Duplicate venue code",IF(OR(B27="",C27="",D27="",E27="",G27="",H27="",I27="",J27=""),"Missing details",IF(OR(LEN(A27)&gt;40,LEN(B27)&gt;120,LEN(C27)&gt;240,LEN(D27)&gt;80,LEN(E27)&gt;80),"Text too long",IF(OR(NOT(ISNUMBER(G27)),NOT(ISNUMBER(H27))),"Pin must be two numbers",IF(OR(G27&lt;4,G27&gt;21.5,H27&lt;116,H27&gt;127),"Pin outside the Philippines",IF(J27="No","No permission: do not import",IF(J27&lt;&gt;"Yes","Waiting for permission",IF(AND(I27&lt;&gt;"Owner or manager",I27&lt;&gt;"Site visit"),"Confirm the pin",IF(K27=0,"Add its courts",IF(K27&gt;40,"Over 40 courts",IF(COUNTIFS(Courts!$A$2:$A$1001,A27,Courts!$G$2:$G$1001,"&lt;&gt;OK")&gt;0,"Fix its courts",IF(L27=0,"Needs an active court","Ready")))))))))))))</f>
      </c>
    </row>
    <row r="28">
      <c r="K28" s="4">
        <f>IF(A28="","",COUNTIF(Courts!$A$2:$A$1001,A28))</f>
      </c>
      <c r="L28" s="4">
        <f>IF(A28="","",COUNTIFS(Courts!$A$2:$A$1001,A28,Courts!$F$2:$F$1001,"Yes"))</f>
      </c>
      <c r="M28" s="4">
        <f>IF(A28="","",IF(COUNTIF($A$2:$A$201,A28)&gt;1,"Duplicate venue code",IF(OR(B28="",C28="",D28="",E28="",G28="",H28="",I28="",J28=""),"Missing details",IF(OR(LEN(A28)&gt;40,LEN(B28)&gt;120,LEN(C28)&gt;240,LEN(D28)&gt;80,LEN(E28)&gt;80),"Text too long",IF(OR(NOT(ISNUMBER(G28)),NOT(ISNUMBER(H28))),"Pin must be two numbers",IF(OR(G28&lt;4,G28&gt;21.5,H28&lt;116,H28&gt;127),"Pin outside the Philippines",IF(J28="No","No permission: do not import",IF(J28&lt;&gt;"Yes","Waiting for permission",IF(AND(I28&lt;&gt;"Owner or manager",I28&lt;&gt;"Site visit"),"Confirm the pin",IF(K28=0,"Add its courts",IF(K28&gt;40,"Over 40 courts",IF(COUNTIFS(Courts!$A$2:$A$1001,A28,Courts!$G$2:$G$1001,"&lt;&gt;OK")&gt;0,"Fix its courts",IF(L28=0,"Needs an active court","Ready")))))))))))))</f>
      </c>
    </row>
    <row r="29">
      <c r="K29" s="4">
        <f>IF(A29="","",COUNTIF(Courts!$A$2:$A$1001,A29))</f>
      </c>
      <c r="L29" s="4">
        <f>IF(A29="","",COUNTIFS(Courts!$A$2:$A$1001,A29,Courts!$F$2:$F$1001,"Yes"))</f>
      </c>
      <c r="M29" s="4">
        <f>IF(A29="","",IF(COUNTIF($A$2:$A$201,A29)&gt;1,"Duplicate venue code",IF(OR(B29="",C29="",D29="",E29="",G29="",H29="",I29="",J29=""),"Missing details",IF(OR(LEN(A29)&gt;40,LEN(B29)&gt;120,LEN(C29)&gt;240,LEN(D29)&gt;80,LEN(E29)&gt;80),"Text too long",IF(OR(NOT(ISNUMBER(G29)),NOT(ISNUMBER(H29))),"Pin must be two numbers",IF(OR(G29&lt;4,G29&gt;21.5,H29&lt;116,H29&gt;127),"Pin outside the Philippines",IF(J29="No","No permission: do not import",IF(J29&lt;&gt;"Yes","Waiting for permission",IF(AND(I29&lt;&gt;"Owner or manager",I29&lt;&gt;"Site visit"),"Confirm the pin",IF(K29=0,"Add its courts",IF(K29&gt;40,"Over 40 courts",IF(COUNTIFS(Courts!$A$2:$A$1001,A29,Courts!$G$2:$G$1001,"&lt;&gt;OK")&gt;0,"Fix its courts",IF(L29=0,"Needs an active court","Ready")))))))))))))</f>
      </c>
    </row>
    <row r="30">
      <c r="K30" s="4">
        <f>IF(A30="","",COUNTIF(Courts!$A$2:$A$1001,A30))</f>
      </c>
      <c r="L30" s="4">
        <f>IF(A30="","",COUNTIFS(Courts!$A$2:$A$1001,A30,Courts!$F$2:$F$1001,"Yes"))</f>
      </c>
      <c r="M30" s="4">
        <f>IF(A30="","",IF(COUNTIF($A$2:$A$201,A30)&gt;1,"Duplicate venue code",IF(OR(B30="",C30="",D30="",E30="",G30="",H30="",I30="",J30=""),"Missing details",IF(OR(LEN(A30)&gt;40,LEN(B30)&gt;120,LEN(C30)&gt;240,LEN(D30)&gt;80,LEN(E30)&gt;80),"Text too long",IF(OR(NOT(ISNUMBER(G30)),NOT(ISNUMBER(H30))),"Pin must be two numbers",IF(OR(G30&lt;4,G30&gt;21.5,H30&lt;116,H30&gt;127),"Pin outside the Philippines",IF(J30="No","No permission: do not import",IF(J30&lt;&gt;"Yes","Waiting for permission",IF(AND(I30&lt;&gt;"Owner or manager",I30&lt;&gt;"Site visit"),"Confirm the pin",IF(K30=0,"Add its courts",IF(K30&gt;40,"Over 40 courts",IF(COUNTIFS(Courts!$A$2:$A$1001,A30,Courts!$G$2:$G$1001,"&lt;&gt;OK")&gt;0,"Fix its courts",IF(L30=0,"Needs an active court","Ready")))))))))))))</f>
      </c>
    </row>
    <row r="31">
      <c r="K31" s="4">
        <f>IF(A31="","",COUNTIF(Courts!$A$2:$A$1001,A31))</f>
      </c>
      <c r="L31" s="4">
        <f>IF(A31="","",COUNTIFS(Courts!$A$2:$A$1001,A31,Courts!$F$2:$F$1001,"Yes"))</f>
      </c>
      <c r="M31" s="4">
        <f>IF(A31="","",IF(COUNTIF($A$2:$A$201,A31)&gt;1,"Duplicate venue code",IF(OR(B31="",C31="",D31="",E31="",G31="",H31="",I31="",J31=""),"Missing details",IF(OR(LEN(A31)&gt;40,LEN(B31)&gt;120,LEN(C31)&gt;240,LEN(D31)&gt;80,LEN(E31)&gt;80),"Text too long",IF(OR(NOT(ISNUMBER(G31)),NOT(ISNUMBER(H31))),"Pin must be two numbers",IF(OR(G31&lt;4,G31&gt;21.5,H31&lt;116,H31&gt;127),"Pin outside the Philippines",IF(J31="No","No permission: do not import",IF(J31&lt;&gt;"Yes","Waiting for permission",IF(AND(I31&lt;&gt;"Owner or manager",I31&lt;&gt;"Site visit"),"Confirm the pin",IF(K31=0,"Add its courts",IF(K31&gt;40,"Over 40 courts",IF(COUNTIFS(Courts!$A$2:$A$1001,A31,Courts!$G$2:$G$1001,"&lt;&gt;OK")&gt;0,"Fix its courts",IF(L31=0,"Needs an active court","Ready")))))))))))))</f>
      </c>
    </row>
    <row r="32">
      <c r="K32" s="4">
        <f>IF(A32="","",COUNTIF(Courts!$A$2:$A$1001,A32))</f>
      </c>
      <c r="L32" s="4">
        <f>IF(A32="","",COUNTIFS(Courts!$A$2:$A$1001,A32,Courts!$F$2:$F$1001,"Yes"))</f>
      </c>
      <c r="M32" s="4">
        <f>IF(A32="","",IF(COUNTIF($A$2:$A$201,A32)&gt;1,"Duplicate venue code",IF(OR(B32="",C32="",D32="",E32="",G32="",H32="",I32="",J32=""),"Missing details",IF(OR(LEN(A32)&gt;40,LEN(B32)&gt;120,LEN(C32)&gt;240,LEN(D32)&gt;80,LEN(E32)&gt;80),"Text too long",IF(OR(NOT(ISNUMBER(G32)),NOT(ISNUMBER(H32))),"Pin must be two numbers",IF(OR(G32&lt;4,G32&gt;21.5,H32&lt;116,H32&gt;127),"Pin outside the Philippines",IF(J32="No","No permission: do not import",IF(J32&lt;&gt;"Yes","Waiting for permission",IF(AND(I32&lt;&gt;"Owner or manager",I32&lt;&gt;"Site visit"),"Confirm the pin",IF(K32=0,"Add its courts",IF(K32&gt;40,"Over 40 courts",IF(COUNTIFS(Courts!$A$2:$A$1001,A32,Courts!$G$2:$G$1001,"&lt;&gt;OK")&gt;0,"Fix its courts",IF(L32=0,"Needs an active court","Ready")))))))))))))</f>
      </c>
    </row>
    <row r="33">
      <c r="K33" s="4">
        <f>IF(A33="","",COUNTIF(Courts!$A$2:$A$1001,A33))</f>
      </c>
      <c r="L33" s="4">
        <f>IF(A33="","",COUNTIFS(Courts!$A$2:$A$1001,A33,Courts!$F$2:$F$1001,"Yes"))</f>
      </c>
      <c r="M33" s="4">
        <f>IF(A33="","",IF(COUNTIF($A$2:$A$201,A33)&gt;1,"Duplicate venue code",IF(OR(B33="",C33="",D33="",E33="",G33="",H33="",I33="",J33=""),"Missing details",IF(OR(LEN(A33)&gt;40,LEN(B33)&gt;120,LEN(C33)&gt;240,LEN(D33)&gt;80,LEN(E33)&gt;80),"Text too long",IF(OR(NOT(ISNUMBER(G33)),NOT(ISNUMBER(H33))),"Pin must be two numbers",IF(OR(G33&lt;4,G33&gt;21.5,H33&lt;116,H33&gt;127),"Pin outside the Philippines",IF(J33="No","No permission: do not import",IF(J33&lt;&gt;"Yes","Waiting for permission",IF(AND(I33&lt;&gt;"Owner or manager",I33&lt;&gt;"Site visit"),"Confirm the pin",IF(K33=0,"Add its courts",IF(K33&gt;40,"Over 40 courts",IF(COUNTIFS(Courts!$A$2:$A$1001,A33,Courts!$G$2:$G$1001,"&lt;&gt;OK")&gt;0,"Fix its courts",IF(L33=0,"Needs an active court","Ready")))))))))))))</f>
      </c>
    </row>
    <row r="34">
      <c r="K34" s="4">
        <f>IF(A34="","",COUNTIF(Courts!$A$2:$A$1001,A34))</f>
      </c>
      <c r="L34" s="4">
        <f>IF(A34="","",COUNTIFS(Courts!$A$2:$A$1001,A34,Courts!$F$2:$F$1001,"Yes"))</f>
      </c>
      <c r="M34" s="4">
        <f>IF(A34="","",IF(COUNTIF($A$2:$A$201,A34)&gt;1,"Duplicate venue code",IF(OR(B34="",C34="",D34="",E34="",G34="",H34="",I34="",J34=""),"Missing details",IF(OR(LEN(A34)&gt;40,LEN(B34)&gt;120,LEN(C34)&gt;240,LEN(D34)&gt;80,LEN(E34)&gt;80),"Text too long",IF(OR(NOT(ISNUMBER(G34)),NOT(ISNUMBER(H34))),"Pin must be two numbers",IF(OR(G34&lt;4,G34&gt;21.5,H34&lt;116,H34&gt;127),"Pin outside the Philippines",IF(J34="No","No permission: do not import",IF(J34&lt;&gt;"Yes","Waiting for permission",IF(AND(I34&lt;&gt;"Owner or manager",I34&lt;&gt;"Site visit"),"Confirm the pin",IF(K34=0,"Add its courts",IF(K34&gt;40,"Over 40 courts",IF(COUNTIFS(Courts!$A$2:$A$1001,A34,Courts!$G$2:$G$1001,"&lt;&gt;OK")&gt;0,"Fix its courts",IF(L34=0,"Needs an active court","Ready")))))))))))))</f>
      </c>
    </row>
    <row r="35">
      <c r="K35" s="4">
        <f>IF(A35="","",COUNTIF(Courts!$A$2:$A$1001,A35))</f>
      </c>
      <c r="L35" s="4">
        <f>IF(A35="","",COUNTIFS(Courts!$A$2:$A$1001,A35,Courts!$F$2:$F$1001,"Yes"))</f>
      </c>
      <c r="M35" s="4">
        <f>IF(A35="","",IF(COUNTIF($A$2:$A$201,A35)&gt;1,"Duplicate venue code",IF(OR(B35="",C35="",D35="",E35="",G35="",H35="",I35="",J35=""),"Missing details",IF(OR(LEN(A35)&gt;40,LEN(B35)&gt;120,LEN(C35)&gt;240,LEN(D35)&gt;80,LEN(E35)&gt;80),"Text too long",IF(OR(NOT(ISNUMBER(G35)),NOT(ISNUMBER(H35))),"Pin must be two numbers",IF(OR(G35&lt;4,G35&gt;21.5,H35&lt;116,H35&gt;127),"Pin outside the Philippines",IF(J35="No","No permission: do not import",IF(J35&lt;&gt;"Yes","Waiting for permission",IF(AND(I35&lt;&gt;"Owner or manager",I35&lt;&gt;"Site visit"),"Confirm the pin",IF(K35=0,"Add its courts",IF(K35&gt;40,"Over 40 courts",IF(COUNTIFS(Courts!$A$2:$A$1001,A35,Courts!$G$2:$G$1001,"&lt;&gt;OK")&gt;0,"Fix its courts",IF(L35=0,"Needs an active court","Ready")))))))))))))</f>
      </c>
    </row>
    <row r="36">
      <c r="K36" s="4">
        <f>IF(A36="","",COUNTIF(Courts!$A$2:$A$1001,A36))</f>
      </c>
      <c r="L36" s="4">
        <f>IF(A36="","",COUNTIFS(Courts!$A$2:$A$1001,A36,Courts!$F$2:$F$1001,"Yes"))</f>
      </c>
      <c r="M36" s="4">
        <f>IF(A36="","",IF(COUNTIF($A$2:$A$201,A36)&gt;1,"Duplicate venue code",IF(OR(B36="",C36="",D36="",E36="",G36="",H36="",I36="",J36=""),"Missing details",IF(OR(LEN(A36)&gt;40,LEN(B36)&gt;120,LEN(C36)&gt;240,LEN(D36)&gt;80,LEN(E36)&gt;80),"Text too long",IF(OR(NOT(ISNUMBER(G36)),NOT(ISNUMBER(H36))),"Pin must be two numbers",IF(OR(G36&lt;4,G36&gt;21.5,H36&lt;116,H36&gt;127),"Pin outside the Philippines",IF(J36="No","No permission: do not import",IF(J36&lt;&gt;"Yes","Waiting for permission",IF(AND(I36&lt;&gt;"Owner or manager",I36&lt;&gt;"Site visit"),"Confirm the pin",IF(K36=0,"Add its courts",IF(K36&gt;40,"Over 40 courts",IF(COUNTIFS(Courts!$A$2:$A$1001,A36,Courts!$G$2:$G$1001,"&lt;&gt;OK")&gt;0,"Fix its courts",IF(L36=0,"Needs an active court","Ready")))))))))))))</f>
      </c>
    </row>
    <row r="37">
      <c r="K37" s="4">
        <f>IF(A37="","",COUNTIF(Courts!$A$2:$A$1001,A37))</f>
      </c>
      <c r="L37" s="4">
        <f>IF(A37="","",COUNTIFS(Courts!$A$2:$A$1001,A37,Courts!$F$2:$F$1001,"Yes"))</f>
      </c>
      <c r="M37" s="4">
        <f>IF(A37="","",IF(COUNTIF($A$2:$A$201,A37)&gt;1,"Duplicate venue code",IF(OR(B37="",C37="",D37="",E37="",G37="",H37="",I37="",J37=""),"Missing details",IF(OR(LEN(A37)&gt;40,LEN(B37)&gt;120,LEN(C37)&gt;240,LEN(D37)&gt;80,LEN(E37)&gt;80),"Text too long",IF(OR(NOT(ISNUMBER(G37)),NOT(ISNUMBER(H37))),"Pin must be two numbers",IF(OR(G37&lt;4,G37&gt;21.5,H37&lt;116,H37&gt;127),"Pin outside the Philippines",IF(J37="No","No permission: do not import",IF(J37&lt;&gt;"Yes","Waiting for permission",IF(AND(I37&lt;&gt;"Owner or manager",I37&lt;&gt;"Site visit"),"Confirm the pin",IF(K37=0,"Add its courts",IF(K37&gt;40,"Over 40 courts",IF(COUNTIFS(Courts!$A$2:$A$1001,A37,Courts!$G$2:$G$1001,"&lt;&gt;OK")&gt;0,"Fix its courts",IF(L37=0,"Needs an active court","Ready")))))))))))))</f>
      </c>
    </row>
    <row r="38">
      <c r="K38" s="4">
        <f>IF(A38="","",COUNTIF(Courts!$A$2:$A$1001,A38))</f>
      </c>
      <c r="L38" s="4">
        <f>IF(A38="","",COUNTIFS(Courts!$A$2:$A$1001,A38,Courts!$F$2:$F$1001,"Yes"))</f>
      </c>
      <c r="M38" s="4">
        <f>IF(A38="","",IF(COUNTIF($A$2:$A$201,A38)&gt;1,"Duplicate venue code",IF(OR(B38="",C38="",D38="",E38="",G38="",H38="",I38="",J38=""),"Missing details",IF(OR(LEN(A38)&gt;40,LEN(B38)&gt;120,LEN(C38)&gt;240,LEN(D38)&gt;80,LEN(E38)&gt;80),"Text too long",IF(OR(NOT(ISNUMBER(G38)),NOT(ISNUMBER(H38))),"Pin must be two numbers",IF(OR(G38&lt;4,G38&gt;21.5,H38&lt;116,H38&gt;127),"Pin outside the Philippines",IF(J38="No","No permission: do not import",IF(J38&lt;&gt;"Yes","Waiting for permission",IF(AND(I38&lt;&gt;"Owner or manager",I38&lt;&gt;"Site visit"),"Confirm the pin",IF(K38=0,"Add its courts",IF(K38&gt;40,"Over 40 courts",IF(COUNTIFS(Courts!$A$2:$A$1001,A38,Courts!$G$2:$G$1001,"&lt;&gt;OK")&gt;0,"Fix its courts",IF(L38=0,"Needs an active court","Ready")))))))))))))</f>
      </c>
    </row>
    <row r="39">
      <c r="K39" s="4">
        <f>IF(A39="","",COUNTIF(Courts!$A$2:$A$1001,A39))</f>
      </c>
      <c r="L39" s="4">
        <f>IF(A39="","",COUNTIFS(Courts!$A$2:$A$1001,A39,Courts!$F$2:$F$1001,"Yes"))</f>
      </c>
      <c r="M39" s="4">
        <f>IF(A39="","",IF(COUNTIF($A$2:$A$201,A39)&gt;1,"Duplicate venue code",IF(OR(B39="",C39="",D39="",E39="",G39="",H39="",I39="",J39=""),"Missing details",IF(OR(LEN(A39)&gt;40,LEN(B39)&gt;120,LEN(C39)&gt;240,LEN(D39)&gt;80,LEN(E39)&gt;80),"Text too long",IF(OR(NOT(ISNUMBER(G39)),NOT(ISNUMBER(H39))),"Pin must be two numbers",IF(OR(G39&lt;4,G39&gt;21.5,H39&lt;116,H39&gt;127),"Pin outside the Philippines",IF(J39="No","No permission: do not import",IF(J39&lt;&gt;"Yes","Waiting for permission",IF(AND(I39&lt;&gt;"Owner or manager",I39&lt;&gt;"Site visit"),"Confirm the pin",IF(K39=0,"Add its courts",IF(K39&gt;40,"Over 40 courts",IF(COUNTIFS(Courts!$A$2:$A$1001,A39,Courts!$G$2:$G$1001,"&lt;&gt;OK")&gt;0,"Fix its courts",IF(L39=0,"Needs an active court","Ready")))))))))))))</f>
      </c>
    </row>
    <row r="40">
      <c r="K40" s="4">
        <f>IF(A40="","",COUNTIF(Courts!$A$2:$A$1001,A40))</f>
      </c>
      <c r="L40" s="4">
        <f>IF(A40="","",COUNTIFS(Courts!$A$2:$A$1001,A40,Courts!$F$2:$F$1001,"Yes"))</f>
      </c>
      <c r="M40" s="4">
        <f>IF(A40="","",IF(COUNTIF($A$2:$A$201,A40)&gt;1,"Duplicate venue code",IF(OR(B40="",C40="",D40="",E40="",G40="",H40="",I40="",J40=""),"Missing details",IF(OR(LEN(A40)&gt;40,LEN(B40)&gt;120,LEN(C40)&gt;240,LEN(D40)&gt;80,LEN(E40)&gt;80),"Text too long",IF(OR(NOT(ISNUMBER(G40)),NOT(ISNUMBER(H40))),"Pin must be two numbers",IF(OR(G40&lt;4,G40&gt;21.5,H40&lt;116,H40&gt;127),"Pin outside the Philippines",IF(J40="No","No permission: do not import",IF(J40&lt;&gt;"Yes","Waiting for permission",IF(AND(I40&lt;&gt;"Owner or manager",I40&lt;&gt;"Site visit"),"Confirm the pin",IF(K40=0,"Add its courts",IF(K40&gt;40,"Over 40 courts",IF(COUNTIFS(Courts!$A$2:$A$1001,A40,Courts!$G$2:$G$1001,"&lt;&gt;OK")&gt;0,"Fix its courts",IF(L40=0,"Needs an active court","Ready")))))))))))))</f>
      </c>
    </row>
    <row r="41">
      <c r="K41" s="4">
        <f>IF(A41="","",COUNTIF(Courts!$A$2:$A$1001,A41))</f>
      </c>
      <c r="L41" s="4">
        <f>IF(A41="","",COUNTIFS(Courts!$A$2:$A$1001,A41,Courts!$F$2:$F$1001,"Yes"))</f>
      </c>
      <c r="M41" s="4">
        <f>IF(A41="","",IF(COUNTIF($A$2:$A$201,A41)&gt;1,"Duplicate venue code",IF(OR(B41="",C41="",D41="",E41="",G41="",H41="",I41="",J41=""),"Missing details",IF(OR(LEN(A41)&gt;40,LEN(B41)&gt;120,LEN(C41)&gt;240,LEN(D41)&gt;80,LEN(E41)&gt;80),"Text too long",IF(OR(NOT(ISNUMBER(G41)),NOT(ISNUMBER(H41))),"Pin must be two numbers",IF(OR(G41&lt;4,G41&gt;21.5,H41&lt;116,H41&gt;127),"Pin outside the Philippines",IF(J41="No","No permission: do not import",IF(J41&lt;&gt;"Yes","Waiting for permission",IF(AND(I41&lt;&gt;"Owner or manager",I41&lt;&gt;"Site visit"),"Confirm the pin",IF(K41=0,"Add its courts",IF(K41&gt;40,"Over 40 courts",IF(COUNTIFS(Courts!$A$2:$A$1001,A41,Courts!$G$2:$G$1001,"&lt;&gt;OK")&gt;0,"Fix its courts",IF(L41=0,"Needs an active court","Ready")))))))))))))</f>
      </c>
    </row>
    <row r="42">
      <c r="K42" s="4">
        <f>IF(A42="","",COUNTIF(Courts!$A$2:$A$1001,A42))</f>
      </c>
      <c r="L42" s="4">
        <f>IF(A42="","",COUNTIFS(Courts!$A$2:$A$1001,A42,Courts!$F$2:$F$1001,"Yes"))</f>
      </c>
      <c r="M42" s="4">
        <f>IF(A42="","",IF(COUNTIF($A$2:$A$201,A42)&gt;1,"Duplicate venue code",IF(OR(B42="",C42="",D42="",E42="",G42="",H42="",I42="",J42=""),"Missing details",IF(OR(LEN(A42)&gt;40,LEN(B42)&gt;120,LEN(C42)&gt;240,LEN(D42)&gt;80,LEN(E42)&gt;80),"Text too long",IF(OR(NOT(ISNUMBER(G42)),NOT(ISNUMBER(H42))),"Pin must be two numbers",IF(OR(G42&lt;4,G42&gt;21.5,H42&lt;116,H42&gt;127),"Pin outside the Philippines",IF(J42="No","No permission: do not import",IF(J42&lt;&gt;"Yes","Waiting for permission",IF(AND(I42&lt;&gt;"Owner or manager",I42&lt;&gt;"Site visit"),"Confirm the pin",IF(K42=0,"Add its courts",IF(K42&gt;40,"Over 40 courts",IF(COUNTIFS(Courts!$A$2:$A$1001,A42,Courts!$G$2:$G$1001,"&lt;&gt;OK")&gt;0,"Fix its courts",IF(L42=0,"Needs an active court","Ready")))))))))))))</f>
      </c>
    </row>
    <row r="43">
      <c r="K43" s="4">
        <f>IF(A43="","",COUNTIF(Courts!$A$2:$A$1001,A43))</f>
      </c>
      <c r="L43" s="4">
        <f>IF(A43="","",COUNTIFS(Courts!$A$2:$A$1001,A43,Courts!$F$2:$F$1001,"Yes"))</f>
      </c>
      <c r="M43" s="4">
        <f>IF(A43="","",IF(COUNTIF($A$2:$A$201,A43)&gt;1,"Duplicate venue code",IF(OR(B43="",C43="",D43="",E43="",G43="",H43="",I43="",J43=""),"Missing details",IF(OR(LEN(A43)&gt;40,LEN(B43)&gt;120,LEN(C43)&gt;240,LEN(D43)&gt;80,LEN(E43)&gt;80),"Text too long",IF(OR(NOT(ISNUMBER(G43)),NOT(ISNUMBER(H43))),"Pin must be two numbers",IF(OR(G43&lt;4,G43&gt;21.5,H43&lt;116,H43&gt;127),"Pin outside the Philippines",IF(J43="No","No permission: do not import",IF(J43&lt;&gt;"Yes","Waiting for permission",IF(AND(I43&lt;&gt;"Owner or manager",I43&lt;&gt;"Site visit"),"Confirm the pin",IF(K43=0,"Add its courts",IF(K43&gt;40,"Over 40 courts",IF(COUNTIFS(Courts!$A$2:$A$1001,A43,Courts!$G$2:$G$1001,"&lt;&gt;OK")&gt;0,"Fix its courts",IF(L43=0,"Needs an active court","Ready")))))))))))))</f>
      </c>
    </row>
    <row r="44">
      <c r="K44" s="4">
        <f>IF(A44="","",COUNTIF(Courts!$A$2:$A$1001,A44))</f>
      </c>
      <c r="L44" s="4">
        <f>IF(A44="","",COUNTIFS(Courts!$A$2:$A$1001,A44,Courts!$F$2:$F$1001,"Yes"))</f>
      </c>
      <c r="M44" s="4">
        <f>IF(A44="","",IF(COUNTIF($A$2:$A$201,A44)&gt;1,"Duplicate venue code",IF(OR(B44="",C44="",D44="",E44="",G44="",H44="",I44="",J44=""),"Missing details",IF(OR(LEN(A44)&gt;40,LEN(B44)&gt;120,LEN(C44)&gt;240,LEN(D44)&gt;80,LEN(E44)&gt;80),"Text too long",IF(OR(NOT(ISNUMBER(G44)),NOT(ISNUMBER(H44))),"Pin must be two numbers",IF(OR(G44&lt;4,G44&gt;21.5,H44&lt;116,H44&gt;127),"Pin outside the Philippines",IF(J44="No","No permission: do not import",IF(J44&lt;&gt;"Yes","Waiting for permission",IF(AND(I44&lt;&gt;"Owner or manager",I44&lt;&gt;"Site visit"),"Confirm the pin",IF(K44=0,"Add its courts",IF(K44&gt;40,"Over 40 courts",IF(COUNTIFS(Courts!$A$2:$A$1001,A44,Courts!$G$2:$G$1001,"&lt;&gt;OK")&gt;0,"Fix its courts",IF(L44=0,"Needs an active court","Ready")))))))))))))</f>
      </c>
    </row>
    <row r="45">
      <c r="K45" s="4">
        <f>IF(A45="","",COUNTIF(Courts!$A$2:$A$1001,A45))</f>
      </c>
      <c r="L45" s="4">
        <f>IF(A45="","",COUNTIFS(Courts!$A$2:$A$1001,A45,Courts!$F$2:$F$1001,"Yes"))</f>
      </c>
      <c r="M45" s="4">
        <f>IF(A45="","",IF(COUNTIF($A$2:$A$201,A45)&gt;1,"Duplicate venue code",IF(OR(B45="",C45="",D45="",E45="",G45="",H45="",I45="",J45=""),"Missing details",IF(OR(LEN(A45)&gt;40,LEN(B45)&gt;120,LEN(C45)&gt;240,LEN(D45)&gt;80,LEN(E45)&gt;80),"Text too long",IF(OR(NOT(ISNUMBER(G45)),NOT(ISNUMBER(H45))),"Pin must be two numbers",IF(OR(G45&lt;4,G45&gt;21.5,H45&lt;116,H45&gt;127),"Pin outside the Philippines",IF(J45="No","No permission: do not import",IF(J45&lt;&gt;"Yes","Waiting for permission",IF(AND(I45&lt;&gt;"Owner or manager",I45&lt;&gt;"Site visit"),"Confirm the pin",IF(K45=0,"Add its courts",IF(K45&gt;40,"Over 40 courts",IF(COUNTIFS(Courts!$A$2:$A$1001,A45,Courts!$G$2:$G$1001,"&lt;&gt;OK")&gt;0,"Fix its courts",IF(L45=0,"Needs an active court","Ready")))))))))))))</f>
      </c>
    </row>
    <row r="46">
      <c r="K46" s="4">
        <f>IF(A46="","",COUNTIF(Courts!$A$2:$A$1001,A46))</f>
      </c>
      <c r="L46" s="4">
        <f>IF(A46="","",COUNTIFS(Courts!$A$2:$A$1001,A46,Courts!$F$2:$F$1001,"Yes"))</f>
      </c>
      <c r="M46" s="4">
        <f>IF(A46="","",IF(COUNTIF($A$2:$A$201,A46)&gt;1,"Duplicate venue code",IF(OR(B46="",C46="",D46="",E46="",G46="",H46="",I46="",J46=""),"Missing details",IF(OR(LEN(A46)&gt;40,LEN(B46)&gt;120,LEN(C46)&gt;240,LEN(D46)&gt;80,LEN(E46)&gt;80),"Text too long",IF(OR(NOT(ISNUMBER(G46)),NOT(ISNUMBER(H46))),"Pin must be two numbers",IF(OR(G46&lt;4,G46&gt;21.5,H46&lt;116,H46&gt;127),"Pin outside the Philippines",IF(J46="No","No permission: do not import",IF(J46&lt;&gt;"Yes","Waiting for permission",IF(AND(I46&lt;&gt;"Owner or manager",I46&lt;&gt;"Site visit"),"Confirm the pin",IF(K46=0,"Add its courts",IF(K46&gt;40,"Over 40 courts",IF(COUNTIFS(Courts!$A$2:$A$1001,A46,Courts!$G$2:$G$1001,"&lt;&gt;OK")&gt;0,"Fix its courts",IF(L46=0,"Needs an active court","Ready")))))))))))))</f>
      </c>
    </row>
    <row r="47">
      <c r="K47" s="4">
        <f>IF(A47="","",COUNTIF(Courts!$A$2:$A$1001,A47))</f>
      </c>
      <c r="L47" s="4">
        <f>IF(A47="","",COUNTIFS(Courts!$A$2:$A$1001,A47,Courts!$F$2:$F$1001,"Yes"))</f>
      </c>
      <c r="M47" s="4">
        <f>IF(A47="","",IF(COUNTIF($A$2:$A$201,A47)&gt;1,"Duplicate venue code",IF(OR(B47="",C47="",D47="",E47="",G47="",H47="",I47="",J47=""),"Missing details",IF(OR(LEN(A47)&gt;40,LEN(B47)&gt;120,LEN(C47)&gt;240,LEN(D47)&gt;80,LEN(E47)&gt;80),"Text too long",IF(OR(NOT(ISNUMBER(G47)),NOT(ISNUMBER(H47))),"Pin must be two numbers",IF(OR(G47&lt;4,G47&gt;21.5,H47&lt;116,H47&gt;127),"Pin outside the Philippines",IF(J47="No","No permission: do not import",IF(J47&lt;&gt;"Yes","Waiting for permission",IF(AND(I47&lt;&gt;"Owner or manager",I47&lt;&gt;"Site visit"),"Confirm the pin",IF(K47=0,"Add its courts",IF(K47&gt;40,"Over 40 courts",IF(COUNTIFS(Courts!$A$2:$A$1001,A47,Courts!$G$2:$G$1001,"&lt;&gt;OK")&gt;0,"Fix its courts",IF(L47=0,"Needs an active court","Ready")))))))))))))</f>
      </c>
    </row>
    <row r="48">
      <c r="K48" s="4">
        <f>IF(A48="","",COUNTIF(Courts!$A$2:$A$1001,A48))</f>
      </c>
      <c r="L48" s="4">
        <f>IF(A48="","",COUNTIFS(Courts!$A$2:$A$1001,A48,Courts!$F$2:$F$1001,"Yes"))</f>
      </c>
      <c r="M48" s="4">
        <f>IF(A48="","",IF(COUNTIF($A$2:$A$201,A48)&gt;1,"Duplicate venue code",IF(OR(B48="",C48="",D48="",E48="",G48="",H48="",I48="",J48=""),"Missing details",IF(OR(LEN(A48)&gt;40,LEN(B48)&gt;120,LEN(C48)&gt;240,LEN(D48)&gt;80,LEN(E48)&gt;80),"Text too long",IF(OR(NOT(ISNUMBER(G48)),NOT(ISNUMBER(H48))),"Pin must be two numbers",IF(OR(G48&lt;4,G48&gt;21.5,H48&lt;116,H48&gt;127),"Pin outside the Philippines",IF(J48="No","No permission: do not import",IF(J48&lt;&gt;"Yes","Waiting for permission",IF(AND(I48&lt;&gt;"Owner or manager",I48&lt;&gt;"Site visit"),"Confirm the pin",IF(K48=0,"Add its courts",IF(K48&gt;40,"Over 40 courts",IF(COUNTIFS(Courts!$A$2:$A$1001,A48,Courts!$G$2:$G$1001,"&lt;&gt;OK")&gt;0,"Fix its courts",IF(L48=0,"Needs an active court","Ready")))))))))))))</f>
      </c>
    </row>
    <row r="49">
      <c r="K49" s="4">
        <f>IF(A49="","",COUNTIF(Courts!$A$2:$A$1001,A49))</f>
      </c>
      <c r="L49" s="4">
        <f>IF(A49="","",COUNTIFS(Courts!$A$2:$A$1001,A49,Courts!$F$2:$F$1001,"Yes"))</f>
      </c>
      <c r="M49" s="4">
        <f>IF(A49="","",IF(COUNTIF($A$2:$A$201,A49)&gt;1,"Duplicate venue code",IF(OR(B49="",C49="",D49="",E49="",G49="",H49="",I49="",J49=""),"Missing details",IF(OR(LEN(A49)&gt;40,LEN(B49)&gt;120,LEN(C49)&gt;240,LEN(D49)&gt;80,LEN(E49)&gt;80),"Text too long",IF(OR(NOT(ISNUMBER(G49)),NOT(ISNUMBER(H49))),"Pin must be two numbers",IF(OR(G49&lt;4,G49&gt;21.5,H49&lt;116,H49&gt;127),"Pin outside the Philippines",IF(J49="No","No permission: do not import",IF(J49&lt;&gt;"Yes","Waiting for permission",IF(AND(I49&lt;&gt;"Owner or manager",I49&lt;&gt;"Site visit"),"Confirm the pin",IF(K49=0,"Add its courts",IF(K49&gt;40,"Over 40 courts",IF(COUNTIFS(Courts!$A$2:$A$1001,A49,Courts!$G$2:$G$1001,"&lt;&gt;OK")&gt;0,"Fix its courts",IF(L49=0,"Needs an active court","Ready")))))))))))))</f>
      </c>
    </row>
    <row r="50">
      <c r="K50" s="4">
        <f>IF(A50="","",COUNTIF(Courts!$A$2:$A$1001,A50))</f>
      </c>
      <c r="L50" s="4">
        <f>IF(A50="","",COUNTIFS(Courts!$A$2:$A$1001,A50,Courts!$F$2:$F$1001,"Yes"))</f>
      </c>
      <c r="M50" s="4">
        <f>IF(A50="","",IF(COUNTIF($A$2:$A$201,A50)&gt;1,"Duplicate venue code",IF(OR(B50="",C50="",D50="",E50="",G50="",H50="",I50="",J50=""),"Missing details",IF(OR(LEN(A50)&gt;40,LEN(B50)&gt;120,LEN(C50)&gt;240,LEN(D50)&gt;80,LEN(E50)&gt;80),"Text too long",IF(OR(NOT(ISNUMBER(G50)),NOT(ISNUMBER(H50))),"Pin must be two numbers",IF(OR(G50&lt;4,G50&gt;21.5,H50&lt;116,H50&gt;127),"Pin outside the Philippines",IF(J50="No","No permission: do not import",IF(J50&lt;&gt;"Yes","Waiting for permission",IF(AND(I50&lt;&gt;"Owner or manager",I50&lt;&gt;"Site visit"),"Confirm the pin",IF(K50=0,"Add its courts",IF(K50&gt;40,"Over 40 courts",IF(COUNTIFS(Courts!$A$2:$A$1001,A50,Courts!$G$2:$G$1001,"&lt;&gt;OK")&gt;0,"Fix its courts",IF(L50=0,"Needs an active court","Ready")))))))))))))</f>
      </c>
    </row>
    <row r="51">
      <c r="K51" s="4">
        <f>IF(A51="","",COUNTIF(Courts!$A$2:$A$1001,A51))</f>
      </c>
      <c r="L51" s="4">
        <f>IF(A51="","",COUNTIFS(Courts!$A$2:$A$1001,A51,Courts!$F$2:$F$1001,"Yes"))</f>
      </c>
      <c r="M51" s="4">
        <f>IF(A51="","",IF(COUNTIF($A$2:$A$201,A51)&gt;1,"Duplicate venue code",IF(OR(B51="",C51="",D51="",E51="",G51="",H51="",I51="",J51=""),"Missing details",IF(OR(LEN(A51)&gt;40,LEN(B51)&gt;120,LEN(C51)&gt;240,LEN(D51)&gt;80,LEN(E51)&gt;80),"Text too long",IF(OR(NOT(ISNUMBER(G51)),NOT(ISNUMBER(H51))),"Pin must be two numbers",IF(OR(G51&lt;4,G51&gt;21.5,H51&lt;116,H51&gt;127),"Pin outside the Philippines",IF(J51="No","No permission: do not import",IF(J51&lt;&gt;"Yes","Waiting for permission",IF(AND(I51&lt;&gt;"Owner or manager",I51&lt;&gt;"Site visit"),"Confirm the pin",IF(K51=0,"Add its courts",IF(K51&gt;40,"Over 40 courts",IF(COUNTIFS(Courts!$A$2:$A$1001,A51,Courts!$G$2:$G$1001,"&lt;&gt;OK")&gt;0,"Fix its courts",IF(L51=0,"Needs an active court","Ready")))))))))))))</f>
      </c>
    </row>
    <row r="52">
      <c r="K52" s="4">
        <f>IF(A52="","",COUNTIF(Courts!$A$2:$A$1001,A52))</f>
      </c>
      <c r="L52" s="4">
        <f>IF(A52="","",COUNTIFS(Courts!$A$2:$A$1001,A52,Courts!$F$2:$F$1001,"Yes"))</f>
      </c>
      <c r="M52" s="4">
        <f>IF(A52="","",IF(COUNTIF($A$2:$A$201,A52)&gt;1,"Duplicate venue code",IF(OR(B52="",C52="",D52="",E52="",G52="",H52="",I52="",J52=""),"Missing details",IF(OR(LEN(A52)&gt;40,LEN(B52)&gt;120,LEN(C52)&gt;240,LEN(D52)&gt;80,LEN(E52)&gt;80),"Text too long",IF(OR(NOT(ISNUMBER(G52)),NOT(ISNUMBER(H52))),"Pin must be two numbers",IF(OR(G52&lt;4,G52&gt;21.5,H52&lt;116,H52&gt;127),"Pin outside the Philippines",IF(J52="No","No permission: do not import",IF(J52&lt;&gt;"Yes","Waiting for permission",IF(AND(I52&lt;&gt;"Owner or manager",I52&lt;&gt;"Site visit"),"Confirm the pin",IF(K52=0,"Add its courts",IF(K52&gt;40,"Over 40 courts",IF(COUNTIFS(Courts!$A$2:$A$1001,A52,Courts!$G$2:$G$1001,"&lt;&gt;OK")&gt;0,"Fix its courts",IF(L52=0,"Needs an active court","Ready")))))))))))))</f>
      </c>
    </row>
    <row r="53">
      <c r="K53" s="4">
        <f>IF(A53="","",COUNTIF(Courts!$A$2:$A$1001,A53))</f>
      </c>
      <c r="L53" s="4">
        <f>IF(A53="","",COUNTIFS(Courts!$A$2:$A$1001,A53,Courts!$F$2:$F$1001,"Yes"))</f>
      </c>
      <c r="M53" s="4">
        <f>IF(A53="","",IF(COUNTIF($A$2:$A$201,A53)&gt;1,"Duplicate venue code",IF(OR(B53="",C53="",D53="",E53="",G53="",H53="",I53="",J53=""),"Missing details",IF(OR(LEN(A53)&gt;40,LEN(B53)&gt;120,LEN(C53)&gt;240,LEN(D53)&gt;80,LEN(E53)&gt;80),"Text too long",IF(OR(NOT(ISNUMBER(G53)),NOT(ISNUMBER(H53))),"Pin must be two numbers",IF(OR(G53&lt;4,G53&gt;21.5,H53&lt;116,H53&gt;127),"Pin outside the Philippines",IF(J53="No","No permission: do not import",IF(J53&lt;&gt;"Yes","Waiting for permission",IF(AND(I53&lt;&gt;"Owner or manager",I53&lt;&gt;"Site visit"),"Confirm the pin",IF(K53=0,"Add its courts",IF(K53&gt;40,"Over 40 courts",IF(COUNTIFS(Courts!$A$2:$A$1001,A53,Courts!$G$2:$G$1001,"&lt;&gt;OK")&gt;0,"Fix its courts",IF(L53=0,"Needs an active court","Ready")))))))))))))</f>
      </c>
    </row>
    <row r="54">
      <c r="K54" s="4">
        <f>IF(A54="","",COUNTIF(Courts!$A$2:$A$1001,A54))</f>
      </c>
      <c r="L54" s="4">
        <f>IF(A54="","",COUNTIFS(Courts!$A$2:$A$1001,A54,Courts!$F$2:$F$1001,"Yes"))</f>
      </c>
      <c r="M54" s="4">
        <f>IF(A54="","",IF(COUNTIF($A$2:$A$201,A54)&gt;1,"Duplicate venue code",IF(OR(B54="",C54="",D54="",E54="",G54="",H54="",I54="",J54=""),"Missing details",IF(OR(LEN(A54)&gt;40,LEN(B54)&gt;120,LEN(C54)&gt;240,LEN(D54)&gt;80,LEN(E54)&gt;80),"Text too long",IF(OR(NOT(ISNUMBER(G54)),NOT(ISNUMBER(H54))),"Pin must be two numbers",IF(OR(G54&lt;4,G54&gt;21.5,H54&lt;116,H54&gt;127),"Pin outside the Philippines",IF(J54="No","No permission: do not import",IF(J54&lt;&gt;"Yes","Waiting for permission",IF(AND(I54&lt;&gt;"Owner or manager",I54&lt;&gt;"Site visit"),"Confirm the pin",IF(K54=0,"Add its courts",IF(K54&gt;40,"Over 40 courts",IF(COUNTIFS(Courts!$A$2:$A$1001,A54,Courts!$G$2:$G$1001,"&lt;&gt;OK")&gt;0,"Fix its courts",IF(L54=0,"Needs an active court","Ready")))))))))))))</f>
      </c>
    </row>
    <row r="55">
      <c r="K55" s="4">
        <f>IF(A55="","",COUNTIF(Courts!$A$2:$A$1001,A55))</f>
      </c>
      <c r="L55" s="4">
        <f>IF(A55="","",COUNTIFS(Courts!$A$2:$A$1001,A55,Courts!$F$2:$F$1001,"Yes"))</f>
      </c>
      <c r="M55" s="4">
        <f>IF(A55="","",IF(COUNTIF($A$2:$A$201,A55)&gt;1,"Duplicate venue code",IF(OR(B55="",C55="",D55="",E55="",G55="",H55="",I55="",J55=""),"Missing details",IF(OR(LEN(A55)&gt;40,LEN(B55)&gt;120,LEN(C55)&gt;240,LEN(D55)&gt;80,LEN(E55)&gt;80),"Text too long",IF(OR(NOT(ISNUMBER(G55)),NOT(ISNUMBER(H55))),"Pin must be two numbers",IF(OR(G55&lt;4,G55&gt;21.5,H55&lt;116,H55&gt;127),"Pin outside the Philippines",IF(J55="No","No permission: do not import",IF(J55&lt;&gt;"Yes","Waiting for permission",IF(AND(I55&lt;&gt;"Owner or manager",I55&lt;&gt;"Site visit"),"Confirm the pin",IF(K55=0,"Add its courts",IF(K55&gt;40,"Over 40 courts",IF(COUNTIFS(Courts!$A$2:$A$1001,A55,Courts!$G$2:$G$1001,"&lt;&gt;OK")&gt;0,"Fix its courts",IF(L55=0,"Needs an active court","Ready")))))))))))))</f>
      </c>
    </row>
    <row r="56">
      <c r="K56" s="4">
        <f>IF(A56="","",COUNTIF(Courts!$A$2:$A$1001,A56))</f>
      </c>
      <c r="L56" s="4">
        <f>IF(A56="","",COUNTIFS(Courts!$A$2:$A$1001,A56,Courts!$F$2:$F$1001,"Yes"))</f>
      </c>
      <c r="M56" s="4">
        <f>IF(A56="","",IF(COUNTIF($A$2:$A$201,A56)&gt;1,"Duplicate venue code",IF(OR(B56="",C56="",D56="",E56="",G56="",H56="",I56="",J56=""),"Missing details",IF(OR(LEN(A56)&gt;40,LEN(B56)&gt;120,LEN(C56)&gt;240,LEN(D56)&gt;80,LEN(E56)&gt;80),"Text too long",IF(OR(NOT(ISNUMBER(G56)),NOT(ISNUMBER(H56))),"Pin must be two numbers",IF(OR(G56&lt;4,G56&gt;21.5,H56&lt;116,H56&gt;127),"Pin outside the Philippines",IF(J56="No","No permission: do not import",IF(J56&lt;&gt;"Yes","Waiting for permission",IF(AND(I56&lt;&gt;"Owner or manager",I56&lt;&gt;"Site visit"),"Confirm the pin",IF(K56=0,"Add its courts",IF(K56&gt;40,"Over 40 courts",IF(COUNTIFS(Courts!$A$2:$A$1001,A56,Courts!$G$2:$G$1001,"&lt;&gt;OK")&gt;0,"Fix its courts",IF(L56=0,"Needs an active court","Ready")))))))))))))</f>
      </c>
    </row>
    <row r="57">
      <c r="K57" s="4">
        <f>IF(A57="","",COUNTIF(Courts!$A$2:$A$1001,A57))</f>
      </c>
      <c r="L57" s="4">
        <f>IF(A57="","",COUNTIFS(Courts!$A$2:$A$1001,A57,Courts!$F$2:$F$1001,"Yes"))</f>
      </c>
      <c r="M57" s="4">
        <f>IF(A57="","",IF(COUNTIF($A$2:$A$201,A57)&gt;1,"Duplicate venue code",IF(OR(B57="",C57="",D57="",E57="",G57="",H57="",I57="",J57=""),"Missing details",IF(OR(LEN(A57)&gt;40,LEN(B57)&gt;120,LEN(C57)&gt;240,LEN(D57)&gt;80,LEN(E57)&gt;80),"Text too long",IF(OR(NOT(ISNUMBER(G57)),NOT(ISNUMBER(H57))),"Pin must be two numbers",IF(OR(G57&lt;4,G57&gt;21.5,H57&lt;116,H57&gt;127),"Pin outside the Philippines",IF(J57="No","No permission: do not import",IF(J57&lt;&gt;"Yes","Waiting for permission",IF(AND(I57&lt;&gt;"Owner or manager",I57&lt;&gt;"Site visit"),"Confirm the pin",IF(K57=0,"Add its courts",IF(K57&gt;40,"Over 40 courts",IF(COUNTIFS(Courts!$A$2:$A$1001,A57,Courts!$G$2:$G$1001,"&lt;&gt;OK")&gt;0,"Fix its courts",IF(L57=0,"Needs an active court","Ready")))))))))))))</f>
      </c>
    </row>
    <row r="58">
      <c r="K58" s="4">
        <f>IF(A58="","",COUNTIF(Courts!$A$2:$A$1001,A58))</f>
      </c>
      <c r="L58" s="4">
        <f>IF(A58="","",COUNTIFS(Courts!$A$2:$A$1001,A58,Courts!$F$2:$F$1001,"Yes"))</f>
      </c>
      <c r="M58" s="4">
        <f>IF(A58="","",IF(COUNTIF($A$2:$A$201,A58)&gt;1,"Duplicate venue code",IF(OR(B58="",C58="",D58="",E58="",G58="",H58="",I58="",J58=""),"Missing details",IF(OR(LEN(A58)&gt;40,LEN(B58)&gt;120,LEN(C58)&gt;240,LEN(D58)&gt;80,LEN(E58)&gt;80),"Text too long",IF(OR(NOT(ISNUMBER(G58)),NOT(ISNUMBER(H58))),"Pin must be two numbers",IF(OR(G58&lt;4,G58&gt;21.5,H58&lt;116,H58&gt;127),"Pin outside the Philippines",IF(J58="No","No permission: do not import",IF(J58&lt;&gt;"Yes","Waiting for permission",IF(AND(I58&lt;&gt;"Owner or manager",I58&lt;&gt;"Site visit"),"Confirm the pin",IF(K58=0,"Add its courts",IF(K58&gt;40,"Over 40 courts",IF(COUNTIFS(Courts!$A$2:$A$1001,A58,Courts!$G$2:$G$1001,"&lt;&gt;OK")&gt;0,"Fix its courts",IF(L58=0,"Needs an active court","Ready")))))))))))))</f>
      </c>
    </row>
    <row r="59">
      <c r="K59" s="4">
        <f>IF(A59="","",COUNTIF(Courts!$A$2:$A$1001,A59))</f>
      </c>
      <c r="L59" s="4">
        <f>IF(A59="","",COUNTIFS(Courts!$A$2:$A$1001,A59,Courts!$F$2:$F$1001,"Yes"))</f>
      </c>
      <c r="M59" s="4">
        <f>IF(A59="","",IF(COUNTIF($A$2:$A$201,A59)&gt;1,"Duplicate venue code",IF(OR(B59="",C59="",D59="",E59="",G59="",H59="",I59="",J59=""),"Missing details",IF(OR(LEN(A59)&gt;40,LEN(B59)&gt;120,LEN(C59)&gt;240,LEN(D59)&gt;80,LEN(E59)&gt;80),"Text too long",IF(OR(NOT(ISNUMBER(G59)),NOT(ISNUMBER(H59))),"Pin must be two numbers",IF(OR(G59&lt;4,G59&gt;21.5,H59&lt;116,H59&gt;127),"Pin outside the Philippines",IF(J59="No","No permission: do not import",IF(J59&lt;&gt;"Yes","Waiting for permission",IF(AND(I59&lt;&gt;"Owner or manager",I59&lt;&gt;"Site visit"),"Confirm the pin",IF(K59=0,"Add its courts",IF(K59&gt;40,"Over 40 courts",IF(COUNTIFS(Courts!$A$2:$A$1001,A59,Courts!$G$2:$G$1001,"&lt;&gt;OK")&gt;0,"Fix its courts",IF(L59=0,"Needs an active court","Ready")))))))))))))</f>
      </c>
    </row>
    <row r="60">
      <c r="K60" s="4">
        <f>IF(A60="","",COUNTIF(Courts!$A$2:$A$1001,A60))</f>
      </c>
      <c r="L60" s="4">
        <f>IF(A60="","",COUNTIFS(Courts!$A$2:$A$1001,A60,Courts!$F$2:$F$1001,"Yes"))</f>
      </c>
      <c r="M60" s="4">
        <f>IF(A60="","",IF(COUNTIF($A$2:$A$201,A60)&gt;1,"Duplicate venue code",IF(OR(B60="",C60="",D60="",E60="",G60="",H60="",I60="",J60=""),"Missing details",IF(OR(LEN(A60)&gt;40,LEN(B60)&gt;120,LEN(C60)&gt;240,LEN(D60)&gt;80,LEN(E60)&gt;80),"Text too long",IF(OR(NOT(ISNUMBER(G60)),NOT(ISNUMBER(H60))),"Pin must be two numbers",IF(OR(G60&lt;4,G60&gt;21.5,H60&lt;116,H60&gt;127),"Pin outside the Philippines",IF(J60="No","No permission: do not import",IF(J60&lt;&gt;"Yes","Waiting for permission",IF(AND(I60&lt;&gt;"Owner or manager",I60&lt;&gt;"Site visit"),"Confirm the pin",IF(K60=0,"Add its courts",IF(K60&gt;40,"Over 40 courts",IF(COUNTIFS(Courts!$A$2:$A$1001,A60,Courts!$G$2:$G$1001,"&lt;&gt;OK")&gt;0,"Fix its courts",IF(L60=0,"Needs an active court","Ready")))))))))))))</f>
      </c>
    </row>
    <row r="61">
      <c r="K61" s="4">
        <f>IF(A61="","",COUNTIF(Courts!$A$2:$A$1001,A61))</f>
      </c>
      <c r="L61" s="4">
        <f>IF(A61="","",COUNTIFS(Courts!$A$2:$A$1001,A61,Courts!$F$2:$F$1001,"Yes"))</f>
      </c>
      <c r="M61" s="4">
        <f>IF(A61="","",IF(COUNTIF($A$2:$A$201,A61)&gt;1,"Duplicate venue code",IF(OR(B61="",C61="",D61="",E61="",G61="",H61="",I61="",J61=""),"Missing details",IF(OR(LEN(A61)&gt;40,LEN(B61)&gt;120,LEN(C61)&gt;240,LEN(D61)&gt;80,LEN(E61)&gt;80),"Text too long",IF(OR(NOT(ISNUMBER(G61)),NOT(ISNUMBER(H61))),"Pin must be two numbers",IF(OR(G61&lt;4,G61&gt;21.5,H61&lt;116,H61&gt;127),"Pin outside the Philippines",IF(J61="No","No permission: do not import",IF(J61&lt;&gt;"Yes","Waiting for permission",IF(AND(I61&lt;&gt;"Owner or manager",I61&lt;&gt;"Site visit"),"Confirm the pin",IF(K61=0,"Add its courts",IF(K61&gt;40,"Over 40 courts",IF(COUNTIFS(Courts!$A$2:$A$1001,A61,Courts!$G$2:$G$1001,"&lt;&gt;OK")&gt;0,"Fix its courts",IF(L61=0,"Needs an active court","Ready")))))))))))))</f>
      </c>
    </row>
    <row r="62">
      <c r="K62" s="4">
        <f>IF(A62="","",COUNTIF(Courts!$A$2:$A$1001,A62))</f>
      </c>
      <c r="L62" s="4">
        <f>IF(A62="","",COUNTIFS(Courts!$A$2:$A$1001,A62,Courts!$F$2:$F$1001,"Yes"))</f>
      </c>
      <c r="M62" s="4">
        <f>IF(A62="","",IF(COUNTIF($A$2:$A$201,A62)&gt;1,"Duplicate venue code",IF(OR(B62="",C62="",D62="",E62="",G62="",H62="",I62="",J62=""),"Missing details",IF(OR(LEN(A62)&gt;40,LEN(B62)&gt;120,LEN(C62)&gt;240,LEN(D62)&gt;80,LEN(E62)&gt;80),"Text too long",IF(OR(NOT(ISNUMBER(G62)),NOT(ISNUMBER(H62))),"Pin must be two numbers",IF(OR(G62&lt;4,G62&gt;21.5,H62&lt;116,H62&gt;127),"Pin outside the Philippines",IF(J62="No","No permission: do not import",IF(J62&lt;&gt;"Yes","Waiting for permission",IF(AND(I62&lt;&gt;"Owner or manager",I62&lt;&gt;"Site visit"),"Confirm the pin",IF(K62=0,"Add its courts",IF(K62&gt;40,"Over 40 courts",IF(COUNTIFS(Courts!$A$2:$A$1001,A62,Courts!$G$2:$G$1001,"&lt;&gt;OK")&gt;0,"Fix its courts",IF(L62=0,"Needs an active court","Ready")))))))))))))</f>
      </c>
    </row>
    <row r="63">
      <c r="K63" s="4">
        <f>IF(A63="","",COUNTIF(Courts!$A$2:$A$1001,A63))</f>
      </c>
      <c r="L63" s="4">
        <f>IF(A63="","",COUNTIFS(Courts!$A$2:$A$1001,A63,Courts!$F$2:$F$1001,"Yes"))</f>
      </c>
      <c r="M63" s="4">
        <f>IF(A63="","",IF(COUNTIF($A$2:$A$201,A63)&gt;1,"Duplicate venue code",IF(OR(B63="",C63="",D63="",E63="",G63="",H63="",I63="",J63=""),"Missing details",IF(OR(LEN(A63)&gt;40,LEN(B63)&gt;120,LEN(C63)&gt;240,LEN(D63)&gt;80,LEN(E63)&gt;80),"Text too long",IF(OR(NOT(ISNUMBER(G63)),NOT(ISNUMBER(H63))),"Pin must be two numbers",IF(OR(G63&lt;4,G63&gt;21.5,H63&lt;116,H63&gt;127),"Pin outside the Philippines",IF(J63="No","No permission: do not import",IF(J63&lt;&gt;"Yes","Waiting for permission",IF(AND(I63&lt;&gt;"Owner or manager",I63&lt;&gt;"Site visit"),"Confirm the pin",IF(K63=0,"Add its courts",IF(K63&gt;40,"Over 40 courts",IF(COUNTIFS(Courts!$A$2:$A$1001,A63,Courts!$G$2:$G$1001,"&lt;&gt;OK")&gt;0,"Fix its courts",IF(L63=0,"Needs an active court","Ready")))))))))))))</f>
      </c>
    </row>
    <row r="64">
      <c r="K64" s="4">
        <f>IF(A64="","",COUNTIF(Courts!$A$2:$A$1001,A64))</f>
      </c>
      <c r="L64" s="4">
        <f>IF(A64="","",COUNTIFS(Courts!$A$2:$A$1001,A64,Courts!$F$2:$F$1001,"Yes"))</f>
      </c>
      <c r="M64" s="4">
        <f>IF(A64="","",IF(COUNTIF($A$2:$A$201,A64)&gt;1,"Duplicate venue code",IF(OR(B64="",C64="",D64="",E64="",G64="",H64="",I64="",J64=""),"Missing details",IF(OR(LEN(A64)&gt;40,LEN(B64)&gt;120,LEN(C64)&gt;240,LEN(D64)&gt;80,LEN(E64)&gt;80),"Text too long",IF(OR(NOT(ISNUMBER(G64)),NOT(ISNUMBER(H64))),"Pin must be two numbers",IF(OR(G64&lt;4,G64&gt;21.5,H64&lt;116,H64&gt;127),"Pin outside the Philippines",IF(J64="No","No permission: do not import",IF(J64&lt;&gt;"Yes","Waiting for permission",IF(AND(I64&lt;&gt;"Owner or manager",I64&lt;&gt;"Site visit"),"Confirm the pin",IF(K64=0,"Add its courts",IF(K64&gt;40,"Over 40 courts",IF(COUNTIFS(Courts!$A$2:$A$1001,A64,Courts!$G$2:$G$1001,"&lt;&gt;OK")&gt;0,"Fix its courts",IF(L64=0,"Needs an active court","Ready")))))))))))))</f>
      </c>
    </row>
    <row r="65">
      <c r="K65" s="4">
        <f>IF(A65="","",COUNTIF(Courts!$A$2:$A$1001,A65))</f>
      </c>
      <c r="L65" s="4">
        <f>IF(A65="","",COUNTIFS(Courts!$A$2:$A$1001,A65,Courts!$F$2:$F$1001,"Yes"))</f>
      </c>
      <c r="M65" s="4">
        <f>IF(A65="","",IF(COUNTIF($A$2:$A$201,A65)&gt;1,"Duplicate venue code",IF(OR(B65="",C65="",D65="",E65="",G65="",H65="",I65="",J65=""),"Missing details",IF(OR(LEN(A65)&gt;40,LEN(B65)&gt;120,LEN(C65)&gt;240,LEN(D65)&gt;80,LEN(E65)&gt;80),"Text too long",IF(OR(NOT(ISNUMBER(G65)),NOT(ISNUMBER(H65))),"Pin must be two numbers",IF(OR(G65&lt;4,G65&gt;21.5,H65&lt;116,H65&gt;127),"Pin outside the Philippines",IF(J65="No","No permission: do not import",IF(J65&lt;&gt;"Yes","Waiting for permission",IF(AND(I65&lt;&gt;"Owner or manager",I65&lt;&gt;"Site visit"),"Confirm the pin",IF(K65=0,"Add its courts",IF(K65&gt;40,"Over 40 courts",IF(COUNTIFS(Courts!$A$2:$A$1001,A65,Courts!$G$2:$G$1001,"&lt;&gt;OK")&gt;0,"Fix its courts",IF(L65=0,"Needs an active court","Ready")))))))))))))</f>
      </c>
    </row>
    <row r="66">
      <c r="K66" s="4">
        <f>IF(A66="","",COUNTIF(Courts!$A$2:$A$1001,A66))</f>
      </c>
      <c r="L66" s="4">
        <f>IF(A66="","",COUNTIFS(Courts!$A$2:$A$1001,A66,Courts!$F$2:$F$1001,"Yes"))</f>
      </c>
      <c r="M66" s="4">
        <f>IF(A66="","",IF(COUNTIF($A$2:$A$201,A66)&gt;1,"Duplicate venue code",IF(OR(B66="",C66="",D66="",E66="",G66="",H66="",I66="",J66=""),"Missing details",IF(OR(LEN(A66)&gt;40,LEN(B66)&gt;120,LEN(C66)&gt;240,LEN(D66)&gt;80,LEN(E66)&gt;80),"Text too long",IF(OR(NOT(ISNUMBER(G66)),NOT(ISNUMBER(H66))),"Pin must be two numbers",IF(OR(G66&lt;4,G66&gt;21.5,H66&lt;116,H66&gt;127),"Pin outside the Philippines",IF(J66="No","No permission: do not import",IF(J66&lt;&gt;"Yes","Waiting for permission",IF(AND(I66&lt;&gt;"Owner or manager",I66&lt;&gt;"Site visit"),"Confirm the pin",IF(K66=0,"Add its courts",IF(K66&gt;40,"Over 40 courts",IF(COUNTIFS(Courts!$A$2:$A$1001,A66,Courts!$G$2:$G$1001,"&lt;&gt;OK")&gt;0,"Fix its courts",IF(L66=0,"Needs an active court","Ready")))))))))))))</f>
      </c>
    </row>
    <row r="67">
      <c r="K67" s="4">
        <f>IF(A67="","",COUNTIF(Courts!$A$2:$A$1001,A67))</f>
      </c>
      <c r="L67" s="4">
        <f>IF(A67="","",COUNTIFS(Courts!$A$2:$A$1001,A67,Courts!$F$2:$F$1001,"Yes"))</f>
      </c>
      <c r="M67" s="4">
        <f>IF(A67="","",IF(COUNTIF($A$2:$A$201,A67)&gt;1,"Duplicate venue code",IF(OR(B67="",C67="",D67="",E67="",G67="",H67="",I67="",J67=""),"Missing details",IF(OR(LEN(A67)&gt;40,LEN(B67)&gt;120,LEN(C67)&gt;240,LEN(D67)&gt;80,LEN(E67)&gt;80),"Text too long",IF(OR(NOT(ISNUMBER(G67)),NOT(ISNUMBER(H67))),"Pin must be two numbers",IF(OR(G67&lt;4,G67&gt;21.5,H67&lt;116,H67&gt;127),"Pin outside the Philippines",IF(J67="No","No permission: do not import",IF(J67&lt;&gt;"Yes","Waiting for permission",IF(AND(I67&lt;&gt;"Owner or manager",I67&lt;&gt;"Site visit"),"Confirm the pin",IF(K67=0,"Add its courts",IF(K67&gt;40,"Over 40 courts",IF(COUNTIFS(Courts!$A$2:$A$1001,A67,Courts!$G$2:$G$1001,"&lt;&gt;OK")&gt;0,"Fix its courts",IF(L67=0,"Needs an active court","Ready")))))))))))))</f>
      </c>
    </row>
    <row r="68">
      <c r="K68" s="4">
        <f>IF(A68="","",COUNTIF(Courts!$A$2:$A$1001,A68))</f>
      </c>
      <c r="L68" s="4">
        <f>IF(A68="","",COUNTIFS(Courts!$A$2:$A$1001,A68,Courts!$F$2:$F$1001,"Yes"))</f>
      </c>
      <c r="M68" s="4">
        <f>IF(A68="","",IF(COUNTIF($A$2:$A$201,A68)&gt;1,"Duplicate venue code",IF(OR(B68="",C68="",D68="",E68="",G68="",H68="",I68="",J68=""),"Missing details",IF(OR(LEN(A68)&gt;40,LEN(B68)&gt;120,LEN(C68)&gt;240,LEN(D68)&gt;80,LEN(E68)&gt;80),"Text too long",IF(OR(NOT(ISNUMBER(G68)),NOT(ISNUMBER(H68))),"Pin must be two numbers",IF(OR(G68&lt;4,G68&gt;21.5,H68&lt;116,H68&gt;127),"Pin outside the Philippines",IF(J68="No","No permission: do not import",IF(J68&lt;&gt;"Yes","Waiting for permission",IF(AND(I68&lt;&gt;"Owner or manager",I68&lt;&gt;"Site visit"),"Confirm the pin",IF(K68=0,"Add its courts",IF(K68&gt;40,"Over 40 courts",IF(COUNTIFS(Courts!$A$2:$A$1001,A68,Courts!$G$2:$G$1001,"&lt;&gt;OK")&gt;0,"Fix its courts",IF(L68=0,"Needs an active court","Ready")))))))))))))</f>
      </c>
    </row>
    <row r="69">
      <c r="K69" s="4">
        <f>IF(A69="","",COUNTIF(Courts!$A$2:$A$1001,A69))</f>
      </c>
      <c r="L69" s="4">
        <f>IF(A69="","",COUNTIFS(Courts!$A$2:$A$1001,A69,Courts!$F$2:$F$1001,"Yes"))</f>
      </c>
      <c r="M69" s="4">
        <f>IF(A69="","",IF(COUNTIF($A$2:$A$201,A69)&gt;1,"Duplicate venue code",IF(OR(B69="",C69="",D69="",E69="",G69="",H69="",I69="",J69=""),"Missing details",IF(OR(LEN(A69)&gt;40,LEN(B69)&gt;120,LEN(C69)&gt;240,LEN(D69)&gt;80,LEN(E69)&gt;80),"Text too long",IF(OR(NOT(ISNUMBER(G69)),NOT(ISNUMBER(H69))),"Pin must be two numbers",IF(OR(G69&lt;4,G69&gt;21.5,H69&lt;116,H69&gt;127),"Pin outside the Philippines",IF(J69="No","No permission: do not import",IF(J69&lt;&gt;"Yes","Waiting for permission",IF(AND(I69&lt;&gt;"Owner or manager",I69&lt;&gt;"Site visit"),"Confirm the pin",IF(K69=0,"Add its courts",IF(K69&gt;40,"Over 40 courts",IF(COUNTIFS(Courts!$A$2:$A$1001,A69,Courts!$G$2:$G$1001,"&lt;&gt;OK")&gt;0,"Fix its courts",IF(L69=0,"Needs an active court","Ready")))))))))))))</f>
      </c>
    </row>
    <row r="70">
      <c r="K70" s="4">
        <f>IF(A70="","",COUNTIF(Courts!$A$2:$A$1001,A70))</f>
      </c>
      <c r="L70" s="4">
        <f>IF(A70="","",COUNTIFS(Courts!$A$2:$A$1001,A70,Courts!$F$2:$F$1001,"Yes"))</f>
      </c>
      <c r="M70" s="4">
        <f>IF(A70="","",IF(COUNTIF($A$2:$A$201,A70)&gt;1,"Duplicate venue code",IF(OR(B70="",C70="",D70="",E70="",G70="",H70="",I70="",J70=""),"Missing details",IF(OR(LEN(A70)&gt;40,LEN(B70)&gt;120,LEN(C70)&gt;240,LEN(D70)&gt;80,LEN(E70)&gt;80),"Text too long",IF(OR(NOT(ISNUMBER(G70)),NOT(ISNUMBER(H70))),"Pin must be two numbers",IF(OR(G70&lt;4,G70&gt;21.5,H70&lt;116,H70&gt;127),"Pin outside the Philippines",IF(J70="No","No permission: do not import",IF(J70&lt;&gt;"Yes","Waiting for permission",IF(AND(I70&lt;&gt;"Owner or manager",I70&lt;&gt;"Site visit"),"Confirm the pin",IF(K70=0,"Add its courts",IF(K70&gt;40,"Over 40 courts",IF(COUNTIFS(Courts!$A$2:$A$1001,A70,Courts!$G$2:$G$1001,"&lt;&gt;OK")&gt;0,"Fix its courts",IF(L70=0,"Needs an active court","Ready")))))))))))))</f>
      </c>
    </row>
    <row r="71">
      <c r="K71" s="4">
        <f>IF(A71="","",COUNTIF(Courts!$A$2:$A$1001,A71))</f>
      </c>
      <c r="L71" s="4">
        <f>IF(A71="","",COUNTIFS(Courts!$A$2:$A$1001,A71,Courts!$F$2:$F$1001,"Yes"))</f>
      </c>
      <c r="M71" s="4">
        <f>IF(A71="","",IF(COUNTIF($A$2:$A$201,A71)&gt;1,"Duplicate venue code",IF(OR(B71="",C71="",D71="",E71="",G71="",H71="",I71="",J71=""),"Missing details",IF(OR(LEN(A71)&gt;40,LEN(B71)&gt;120,LEN(C71)&gt;240,LEN(D71)&gt;80,LEN(E71)&gt;80),"Text too long",IF(OR(NOT(ISNUMBER(G71)),NOT(ISNUMBER(H71))),"Pin must be two numbers",IF(OR(G71&lt;4,G71&gt;21.5,H71&lt;116,H71&gt;127),"Pin outside the Philippines",IF(J71="No","No permission: do not import",IF(J71&lt;&gt;"Yes","Waiting for permission",IF(AND(I71&lt;&gt;"Owner or manager",I71&lt;&gt;"Site visit"),"Confirm the pin",IF(K71=0,"Add its courts",IF(K71&gt;40,"Over 40 courts",IF(COUNTIFS(Courts!$A$2:$A$1001,A71,Courts!$G$2:$G$1001,"&lt;&gt;OK")&gt;0,"Fix its courts",IF(L71=0,"Needs an active court","Ready")))))))))))))</f>
      </c>
    </row>
    <row r="72">
      <c r="K72" s="4">
        <f>IF(A72="","",COUNTIF(Courts!$A$2:$A$1001,A72))</f>
      </c>
      <c r="L72" s="4">
        <f>IF(A72="","",COUNTIFS(Courts!$A$2:$A$1001,A72,Courts!$F$2:$F$1001,"Yes"))</f>
      </c>
      <c r="M72" s="4">
        <f>IF(A72="","",IF(COUNTIF($A$2:$A$201,A72)&gt;1,"Duplicate venue code",IF(OR(B72="",C72="",D72="",E72="",G72="",H72="",I72="",J72=""),"Missing details",IF(OR(LEN(A72)&gt;40,LEN(B72)&gt;120,LEN(C72)&gt;240,LEN(D72)&gt;80,LEN(E72)&gt;80),"Text too long",IF(OR(NOT(ISNUMBER(G72)),NOT(ISNUMBER(H72))),"Pin must be two numbers",IF(OR(G72&lt;4,G72&gt;21.5,H72&lt;116,H72&gt;127),"Pin outside the Philippines",IF(J72="No","No permission: do not import",IF(J72&lt;&gt;"Yes","Waiting for permission",IF(AND(I72&lt;&gt;"Owner or manager",I72&lt;&gt;"Site visit"),"Confirm the pin",IF(K72=0,"Add its courts",IF(K72&gt;40,"Over 40 courts",IF(COUNTIFS(Courts!$A$2:$A$1001,A72,Courts!$G$2:$G$1001,"&lt;&gt;OK")&gt;0,"Fix its courts",IF(L72=0,"Needs an active court","Ready")))))))))))))</f>
      </c>
    </row>
    <row r="73">
      <c r="K73" s="4">
        <f>IF(A73="","",COUNTIF(Courts!$A$2:$A$1001,A73))</f>
      </c>
      <c r="L73" s="4">
        <f>IF(A73="","",COUNTIFS(Courts!$A$2:$A$1001,A73,Courts!$F$2:$F$1001,"Yes"))</f>
      </c>
      <c r="M73" s="4">
        <f>IF(A73="","",IF(COUNTIF($A$2:$A$201,A73)&gt;1,"Duplicate venue code",IF(OR(B73="",C73="",D73="",E73="",G73="",H73="",I73="",J73=""),"Missing details",IF(OR(LEN(A73)&gt;40,LEN(B73)&gt;120,LEN(C73)&gt;240,LEN(D73)&gt;80,LEN(E73)&gt;80),"Text too long",IF(OR(NOT(ISNUMBER(G73)),NOT(ISNUMBER(H73))),"Pin must be two numbers",IF(OR(G73&lt;4,G73&gt;21.5,H73&lt;116,H73&gt;127),"Pin outside the Philippines",IF(J73="No","No permission: do not import",IF(J73&lt;&gt;"Yes","Waiting for permission",IF(AND(I73&lt;&gt;"Owner or manager",I73&lt;&gt;"Site visit"),"Confirm the pin",IF(K73=0,"Add its courts",IF(K73&gt;40,"Over 40 courts",IF(COUNTIFS(Courts!$A$2:$A$1001,A73,Courts!$G$2:$G$1001,"&lt;&gt;OK")&gt;0,"Fix its courts",IF(L73=0,"Needs an active court","Ready")))))))))))))</f>
      </c>
    </row>
    <row r="74">
      <c r="K74" s="4">
        <f>IF(A74="","",COUNTIF(Courts!$A$2:$A$1001,A74))</f>
      </c>
      <c r="L74" s="4">
        <f>IF(A74="","",COUNTIFS(Courts!$A$2:$A$1001,A74,Courts!$F$2:$F$1001,"Yes"))</f>
      </c>
      <c r="M74" s="4">
        <f>IF(A74="","",IF(COUNTIF($A$2:$A$201,A74)&gt;1,"Duplicate venue code",IF(OR(B74="",C74="",D74="",E74="",G74="",H74="",I74="",J74=""),"Missing details",IF(OR(LEN(A74)&gt;40,LEN(B74)&gt;120,LEN(C74)&gt;240,LEN(D74)&gt;80,LEN(E74)&gt;80),"Text too long",IF(OR(NOT(ISNUMBER(G74)),NOT(ISNUMBER(H74))),"Pin must be two numbers",IF(OR(G74&lt;4,G74&gt;21.5,H74&lt;116,H74&gt;127),"Pin outside the Philippines",IF(J74="No","No permission: do not import",IF(J74&lt;&gt;"Yes","Waiting for permission",IF(AND(I74&lt;&gt;"Owner or manager",I74&lt;&gt;"Site visit"),"Confirm the pin",IF(K74=0,"Add its courts",IF(K74&gt;40,"Over 40 courts",IF(COUNTIFS(Courts!$A$2:$A$1001,A74,Courts!$G$2:$G$1001,"&lt;&gt;OK")&gt;0,"Fix its courts",IF(L74=0,"Needs an active court","Ready")))))))))))))</f>
      </c>
    </row>
    <row r="75">
      <c r="K75" s="4">
        <f>IF(A75="","",COUNTIF(Courts!$A$2:$A$1001,A75))</f>
      </c>
      <c r="L75" s="4">
        <f>IF(A75="","",COUNTIFS(Courts!$A$2:$A$1001,A75,Courts!$F$2:$F$1001,"Yes"))</f>
      </c>
      <c r="M75" s="4">
        <f>IF(A75="","",IF(COUNTIF($A$2:$A$201,A75)&gt;1,"Duplicate venue code",IF(OR(B75="",C75="",D75="",E75="",G75="",H75="",I75="",J75=""),"Missing details",IF(OR(LEN(A75)&gt;40,LEN(B75)&gt;120,LEN(C75)&gt;240,LEN(D75)&gt;80,LEN(E75)&gt;80),"Text too long",IF(OR(NOT(ISNUMBER(G75)),NOT(ISNUMBER(H75))),"Pin must be two numbers",IF(OR(G75&lt;4,G75&gt;21.5,H75&lt;116,H75&gt;127),"Pin outside the Philippines",IF(J75="No","No permission: do not import",IF(J75&lt;&gt;"Yes","Waiting for permission",IF(AND(I75&lt;&gt;"Owner or manager",I75&lt;&gt;"Site visit"),"Confirm the pin",IF(K75=0,"Add its courts",IF(K75&gt;40,"Over 40 courts",IF(COUNTIFS(Courts!$A$2:$A$1001,A75,Courts!$G$2:$G$1001,"&lt;&gt;OK")&gt;0,"Fix its courts",IF(L75=0,"Needs an active court","Ready")))))))))))))</f>
      </c>
    </row>
    <row r="76">
      <c r="K76" s="4">
        <f>IF(A76="","",COUNTIF(Courts!$A$2:$A$1001,A76))</f>
      </c>
      <c r="L76" s="4">
        <f>IF(A76="","",COUNTIFS(Courts!$A$2:$A$1001,A76,Courts!$F$2:$F$1001,"Yes"))</f>
      </c>
      <c r="M76" s="4">
        <f>IF(A76="","",IF(COUNTIF($A$2:$A$201,A76)&gt;1,"Duplicate venue code",IF(OR(B76="",C76="",D76="",E76="",G76="",H76="",I76="",J76=""),"Missing details",IF(OR(LEN(A76)&gt;40,LEN(B76)&gt;120,LEN(C76)&gt;240,LEN(D76)&gt;80,LEN(E76)&gt;80),"Text too long",IF(OR(NOT(ISNUMBER(G76)),NOT(ISNUMBER(H76))),"Pin must be two numbers",IF(OR(G76&lt;4,G76&gt;21.5,H76&lt;116,H76&gt;127),"Pin outside the Philippines",IF(J76="No","No permission: do not import",IF(J76&lt;&gt;"Yes","Waiting for permission",IF(AND(I76&lt;&gt;"Owner or manager",I76&lt;&gt;"Site visit"),"Confirm the pin",IF(K76=0,"Add its courts",IF(K76&gt;40,"Over 40 courts",IF(COUNTIFS(Courts!$A$2:$A$1001,A76,Courts!$G$2:$G$1001,"&lt;&gt;OK")&gt;0,"Fix its courts",IF(L76=0,"Needs an active court","Ready")))))))))))))</f>
      </c>
    </row>
    <row r="77">
      <c r="K77" s="4">
        <f>IF(A77="","",COUNTIF(Courts!$A$2:$A$1001,A77))</f>
      </c>
      <c r="L77" s="4">
        <f>IF(A77="","",COUNTIFS(Courts!$A$2:$A$1001,A77,Courts!$F$2:$F$1001,"Yes"))</f>
      </c>
      <c r="M77" s="4">
        <f>IF(A77="","",IF(COUNTIF($A$2:$A$201,A77)&gt;1,"Duplicate venue code",IF(OR(B77="",C77="",D77="",E77="",G77="",H77="",I77="",J77=""),"Missing details",IF(OR(LEN(A77)&gt;40,LEN(B77)&gt;120,LEN(C77)&gt;240,LEN(D77)&gt;80,LEN(E77)&gt;80),"Text too long",IF(OR(NOT(ISNUMBER(G77)),NOT(ISNUMBER(H77))),"Pin must be two numbers",IF(OR(G77&lt;4,G77&gt;21.5,H77&lt;116,H77&gt;127),"Pin outside the Philippines",IF(J77="No","No permission: do not import",IF(J77&lt;&gt;"Yes","Waiting for permission",IF(AND(I77&lt;&gt;"Owner or manager",I77&lt;&gt;"Site visit"),"Confirm the pin",IF(K77=0,"Add its courts",IF(K77&gt;40,"Over 40 courts",IF(COUNTIFS(Courts!$A$2:$A$1001,A77,Courts!$G$2:$G$1001,"&lt;&gt;OK")&gt;0,"Fix its courts",IF(L77=0,"Needs an active court","Ready")))))))))))))</f>
      </c>
    </row>
    <row r="78">
      <c r="K78" s="4">
        <f>IF(A78="","",COUNTIF(Courts!$A$2:$A$1001,A78))</f>
      </c>
      <c r="L78" s="4">
        <f>IF(A78="","",COUNTIFS(Courts!$A$2:$A$1001,A78,Courts!$F$2:$F$1001,"Yes"))</f>
      </c>
      <c r="M78" s="4">
        <f>IF(A78="","",IF(COUNTIF($A$2:$A$201,A78)&gt;1,"Duplicate venue code",IF(OR(B78="",C78="",D78="",E78="",G78="",H78="",I78="",J78=""),"Missing details",IF(OR(LEN(A78)&gt;40,LEN(B78)&gt;120,LEN(C78)&gt;240,LEN(D78)&gt;80,LEN(E78)&gt;80),"Text too long",IF(OR(NOT(ISNUMBER(G78)),NOT(ISNUMBER(H78))),"Pin must be two numbers",IF(OR(G78&lt;4,G78&gt;21.5,H78&lt;116,H78&gt;127),"Pin outside the Philippines",IF(J78="No","No permission: do not import",IF(J78&lt;&gt;"Yes","Waiting for permission",IF(AND(I78&lt;&gt;"Owner or manager",I78&lt;&gt;"Site visit"),"Confirm the pin",IF(K78=0,"Add its courts",IF(K78&gt;40,"Over 40 courts",IF(COUNTIFS(Courts!$A$2:$A$1001,A78,Courts!$G$2:$G$1001,"&lt;&gt;OK")&gt;0,"Fix its courts",IF(L78=0,"Needs an active court","Ready")))))))))))))</f>
      </c>
    </row>
    <row r="79">
      <c r="K79" s="4">
        <f>IF(A79="","",COUNTIF(Courts!$A$2:$A$1001,A79))</f>
      </c>
      <c r="L79" s="4">
        <f>IF(A79="","",COUNTIFS(Courts!$A$2:$A$1001,A79,Courts!$F$2:$F$1001,"Yes"))</f>
      </c>
      <c r="M79" s="4">
        <f>IF(A79="","",IF(COUNTIF($A$2:$A$201,A79)&gt;1,"Duplicate venue code",IF(OR(B79="",C79="",D79="",E79="",G79="",H79="",I79="",J79=""),"Missing details",IF(OR(LEN(A79)&gt;40,LEN(B79)&gt;120,LEN(C79)&gt;240,LEN(D79)&gt;80,LEN(E79)&gt;80),"Text too long",IF(OR(NOT(ISNUMBER(G79)),NOT(ISNUMBER(H79))),"Pin must be two numbers",IF(OR(G79&lt;4,G79&gt;21.5,H79&lt;116,H79&gt;127),"Pin outside the Philippines",IF(J79="No","No permission: do not import",IF(J79&lt;&gt;"Yes","Waiting for permission",IF(AND(I79&lt;&gt;"Owner or manager",I79&lt;&gt;"Site visit"),"Confirm the pin",IF(K79=0,"Add its courts",IF(K79&gt;40,"Over 40 courts",IF(COUNTIFS(Courts!$A$2:$A$1001,A79,Courts!$G$2:$G$1001,"&lt;&gt;OK")&gt;0,"Fix its courts",IF(L79=0,"Needs an active court","Ready")))))))))))))</f>
      </c>
    </row>
    <row r="80">
      <c r="K80" s="4">
        <f>IF(A80="","",COUNTIF(Courts!$A$2:$A$1001,A80))</f>
      </c>
      <c r="L80" s="4">
        <f>IF(A80="","",COUNTIFS(Courts!$A$2:$A$1001,A80,Courts!$F$2:$F$1001,"Yes"))</f>
      </c>
      <c r="M80" s="4">
        <f>IF(A80="","",IF(COUNTIF($A$2:$A$201,A80)&gt;1,"Duplicate venue code",IF(OR(B80="",C80="",D80="",E80="",G80="",H80="",I80="",J80=""),"Missing details",IF(OR(LEN(A80)&gt;40,LEN(B80)&gt;120,LEN(C80)&gt;240,LEN(D80)&gt;80,LEN(E80)&gt;80),"Text too long",IF(OR(NOT(ISNUMBER(G80)),NOT(ISNUMBER(H80))),"Pin must be two numbers",IF(OR(G80&lt;4,G80&gt;21.5,H80&lt;116,H80&gt;127),"Pin outside the Philippines",IF(J80="No","No permission: do not import",IF(J80&lt;&gt;"Yes","Waiting for permission",IF(AND(I80&lt;&gt;"Owner or manager",I80&lt;&gt;"Site visit"),"Confirm the pin",IF(K80=0,"Add its courts",IF(K80&gt;40,"Over 40 courts",IF(COUNTIFS(Courts!$A$2:$A$1001,A80,Courts!$G$2:$G$1001,"&lt;&gt;OK")&gt;0,"Fix its courts",IF(L80=0,"Needs an active court","Ready")))))))))))))</f>
      </c>
    </row>
    <row r="81">
      <c r="K81" s="4">
        <f>IF(A81="","",COUNTIF(Courts!$A$2:$A$1001,A81))</f>
      </c>
      <c r="L81" s="4">
        <f>IF(A81="","",COUNTIFS(Courts!$A$2:$A$1001,A81,Courts!$F$2:$F$1001,"Yes"))</f>
      </c>
      <c r="M81" s="4">
        <f>IF(A81="","",IF(COUNTIF($A$2:$A$201,A81)&gt;1,"Duplicate venue code",IF(OR(B81="",C81="",D81="",E81="",G81="",H81="",I81="",J81=""),"Missing details",IF(OR(LEN(A81)&gt;40,LEN(B81)&gt;120,LEN(C81)&gt;240,LEN(D81)&gt;80,LEN(E81)&gt;80),"Text too long",IF(OR(NOT(ISNUMBER(G81)),NOT(ISNUMBER(H81))),"Pin must be two numbers",IF(OR(G81&lt;4,G81&gt;21.5,H81&lt;116,H81&gt;127),"Pin outside the Philippines",IF(J81="No","No permission: do not import",IF(J81&lt;&gt;"Yes","Waiting for permission",IF(AND(I81&lt;&gt;"Owner or manager",I81&lt;&gt;"Site visit"),"Confirm the pin",IF(K81=0,"Add its courts",IF(K81&gt;40,"Over 40 courts",IF(COUNTIFS(Courts!$A$2:$A$1001,A81,Courts!$G$2:$G$1001,"&lt;&gt;OK")&gt;0,"Fix its courts",IF(L81=0,"Needs an active court","Ready")))))))))))))</f>
      </c>
    </row>
    <row r="82">
      <c r="K82" s="4">
        <f>IF(A82="","",COUNTIF(Courts!$A$2:$A$1001,A82))</f>
      </c>
      <c r="L82" s="4">
        <f>IF(A82="","",COUNTIFS(Courts!$A$2:$A$1001,A82,Courts!$F$2:$F$1001,"Yes"))</f>
      </c>
      <c r="M82" s="4">
        <f>IF(A82="","",IF(COUNTIF($A$2:$A$201,A82)&gt;1,"Duplicate venue code",IF(OR(B82="",C82="",D82="",E82="",G82="",H82="",I82="",J82=""),"Missing details",IF(OR(LEN(A82)&gt;40,LEN(B82)&gt;120,LEN(C82)&gt;240,LEN(D82)&gt;80,LEN(E82)&gt;80),"Text too long",IF(OR(NOT(ISNUMBER(G82)),NOT(ISNUMBER(H82))),"Pin must be two numbers",IF(OR(G82&lt;4,G82&gt;21.5,H82&lt;116,H82&gt;127),"Pin outside the Philippines",IF(J82="No","No permission: do not import",IF(J82&lt;&gt;"Yes","Waiting for permission",IF(AND(I82&lt;&gt;"Owner or manager",I82&lt;&gt;"Site visit"),"Confirm the pin",IF(K82=0,"Add its courts",IF(K82&gt;40,"Over 40 courts",IF(COUNTIFS(Courts!$A$2:$A$1001,A82,Courts!$G$2:$G$1001,"&lt;&gt;OK")&gt;0,"Fix its courts",IF(L82=0,"Needs an active court","Ready")))))))))))))</f>
      </c>
    </row>
    <row r="83">
      <c r="K83" s="4">
        <f>IF(A83="","",COUNTIF(Courts!$A$2:$A$1001,A83))</f>
      </c>
      <c r="L83" s="4">
        <f>IF(A83="","",COUNTIFS(Courts!$A$2:$A$1001,A83,Courts!$F$2:$F$1001,"Yes"))</f>
      </c>
      <c r="M83" s="4">
        <f>IF(A83="","",IF(COUNTIF($A$2:$A$201,A83)&gt;1,"Duplicate venue code",IF(OR(B83="",C83="",D83="",E83="",G83="",H83="",I83="",J83=""),"Missing details",IF(OR(LEN(A83)&gt;40,LEN(B83)&gt;120,LEN(C83)&gt;240,LEN(D83)&gt;80,LEN(E83)&gt;80),"Text too long",IF(OR(NOT(ISNUMBER(G83)),NOT(ISNUMBER(H83))),"Pin must be two numbers",IF(OR(G83&lt;4,G83&gt;21.5,H83&lt;116,H83&gt;127),"Pin outside the Philippines",IF(J83="No","No permission: do not import",IF(J83&lt;&gt;"Yes","Waiting for permission",IF(AND(I83&lt;&gt;"Owner or manager",I83&lt;&gt;"Site visit"),"Confirm the pin",IF(K83=0,"Add its courts",IF(K83&gt;40,"Over 40 courts",IF(COUNTIFS(Courts!$A$2:$A$1001,A83,Courts!$G$2:$G$1001,"&lt;&gt;OK")&gt;0,"Fix its courts",IF(L83=0,"Needs an active court","Ready")))))))))))))</f>
      </c>
    </row>
    <row r="84">
      <c r="K84" s="4">
        <f>IF(A84="","",COUNTIF(Courts!$A$2:$A$1001,A84))</f>
      </c>
      <c r="L84" s="4">
        <f>IF(A84="","",COUNTIFS(Courts!$A$2:$A$1001,A84,Courts!$F$2:$F$1001,"Yes"))</f>
      </c>
      <c r="M84" s="4">
        <f>IF(A84="","",IF(COUNTIF($A$2:$A$201,A84)&gt;1,"Duplicate venue code",IF(OR(B84="",C84="",D84="",E84="",G84="",H84="",I84="",J84=""),"Missing details",IF(OR(LEN(A84)&gt;40,LEN(B84)&gt;120,LEN(C84)&gt;240,LEN(D84)&gt;80,LEN(E84)&gt;80),"Text too long",IF(OR(NOT(ISNUMBER(G84)),NOT(ISNUMBER(H84))),"Pin must be two numbers",IF(OR(G84&lt;4,G84&gt;21.5,H84&lt;116,H84&gt;127),"Pin outside the Philippines",IF(J84="No","No permission: do not import",IF(J84&lt;&gt;"Yes","Waiting for permission",IF(AND(I84&lt;&gt;"Owner or manager",I84&lt;&gt;"Site visit"),"Confirm the pin",IF(K84=0,"Add its courts",IF(K84&gt;40,"Over 40 courts",IF(COUNTIFS(Courts!$A$2:$A$1001,A84,Courts!$G$2:$G$1001,"&lt;&gt;OK")&gt;0,"Fix its courts",IF(L84=0,"Needs an active court","Ready")))))))))))))</f>
      </c>
    </row>
    <row r="85">
      <c r="K85" s="4">
        <f>IF(A85="","",COUNTIF(Courts!$A$2:$A$1001,A85))</f>
      </c>
      <c r="L85" s="4">
        <f>IF(A85="","",COUNTIFS(Courts!$A$2:$A$1001,A85,Courts!$F$2:$F$1001,"Yes"))</f>
      </c>
      <c r="M85" s="4">
        <f>IF(A85="","",IF(COUNTIF($A$2:$A$201,A85)&gt;1,"Duplicate venue code",IF(OR(B85="",C85="",D85="",E85="",G85="",H85="",I85="",J85=""),"Missing details",IF(OR(LEN(A85)&gt;40,LEN(B85)&gt;120,LEN(C85)&gt;240,LEN(D85)&gt;80,LEN(E85)&gt;80),"Text too long",IF(OR(NOT(ISNUMBER(G85)),NOT(ISNUMBER(H85))),"Pin must be two numbers",IF(OR(G85&lt;4,G85&gt;21.5,H85&lt;116,H85&gt;127),"Pin outside the Philippines",IF(J85="No","No permission: do not import",IF(J85&lt;&gt;"Yes","Waiting for permission",IF(AND(I85&lt;&gt;"Owner or manager",I85&lt;&gt;"Site visit"),"Confirm the pin",IF(K85=0,"Add its courts",IF(K85&gt;40,"Over 40 courts",IF(COUNTIFS(Courts!$A$2:$A$1001,A85,Courts!$G$2:$G$1001,"&lt;&gt;OK")&gt;0,"Fix its courts",IF(L85=0,"Needs an active court","Ready")))))))))))))</f>
      </c>
    </row>
    <row r="86">
      <c r="K86" s="4">
        <f>IF(A86="","",COUNTIF(Courts!$A$2:$A$1001,A86))</f>
      </c>
      <c r="L86" s="4">
        <f>IF(A86="","",COUNTIFS(Courts!$A$2:$A$1001,A86,Courts!$F$2:$F$1001,"Yes"))</f>
      </c>
      <c r="M86" s="4">
        <f>IF(A86="","",IF(COUNTIF($A$2:$A$201,A86)&gt;1,"Duplicate venue code",IF(OR(B86="",C86="",D86="",E86="",G86="",H86="",I86="",J86=""),"Missing details",IF(OR(LEN(A86)&gt;40,LEN(B86)&gt;120,LEN(C86)&gt;240,LEN(D86)&gt;80,LEN(E86)&gt;80),"Text too long",IF(OR(NOT(ISNUMBER(G86)),NOT(ISNUMBER(H86))),"Pin must be two numbers",IF(OR(G86&lt;4,G86&gt;21.5,H86&lt;116,H86&gt;127),"Pin outside the Philippines",IF(J86="No","No permission: do not import",IF(J86&lt;&gt;"Yes","Waiting for permission",IF(AND(I86&lt;&gt;"Owner or manager",I86&lt;&gt;"Site visit"),"Confirm the pin",IF(K86=0,"Add its courts",IF(K86&gt;40,"Over 40 courts",IF(COUNTIFS(Courts!$A$2:$A$1001,A86,Courts!$G$2:$G$1001,"&lt;&gt;OK")&gt;0,"Fix its courts",IF(L86=0,"Needs an active court","Ready")))))))))))))</f>
      </c>
    </row>
    <row r="87">
      <c r="K87" s="4">
        <f>IF(A87="","",COUNTIF(Courts!$A$2:$A$1001,A87))</f>
      </c>
      <c r="L87" s="4">
        <f>IF(A87="","",COUNTIFS(Courts!$A$2:$A$1001,A87,Courts!$F$2:$F$1001,"Yes"))</f>
      </c>
      <c r="M87" s="4">
        <f>IF(A87="","",IF(COUNTIF($A$2:$A$201,A87)&gt;1,"Duplicate venue code",IF(OR(B87="",C87="",D87="",E87="",G87="",H87="",I87="",J87=""),"Missing details",IF(OR(LEN(A87)&gt;40,LEN(B87)&gt;120,LEN(C87)&gt;240,LEN(D87)&gt;80,LEN(E87)&gt;80),"Text too long",IF(OR(NOT(ISNUMBER(G87)),NOT(ISNUMBER(H87))),"Pin must be two numbers",IF(OR(G87&lt;4,G87&gt;21.5,H87&lt;116,H87&gt;127),"Pin outside the Philippines",IF(J87="No","No permission: do not import",IF(J87&lt;&gt;"Yes","Waiting for permission",IF(AND(I87&lt;&gt;"Owner or manager",I87&lt;&gt;"Site visit"),"Confirm the pin",IF(K87=0,"Add its courts",IF(K87&gt;40,"Over 40 courts",IF(COUNTIFS(Courts!$A$2:$A$1001,A87,Courts!$G$2:$G$1001,"&lt;&gt;OK")&gt;0,"Fix its courts",IF(L87=0,"Needs an active court","Ready")))))))))))))</f>
      </c>
    </row>
    <row r="88">
      <c r="K88" s="4">
        <f>IF(A88="","",COUNTIF(Courts!$A$2:$A$1001,A88))</f>
      </c>
      <c r="L88" s="4">
        <f>IF(A88="","",COUNTIFS(Courts!$A$2:$A$1001,A88,Courts!$F$2:$F$1001,"Yes"))</f>
      </c>
      <c r="M88" s="4">
        <f>IF(A88="","",IF(COUNTIF($A$2:$A$201,A88)&gt;1,"Duplicate venue code",IF(OR(B88="",C88="",D88="",E88="",G88="",H88="",I88="",J88=""),"Missing details",IF(OR(LEN(A88)&gt;40,LEN(B88)&gt;120,LEN(C88)&gt;240,LEN(D88)&gt;80,LEN(E88)&gt;80),"Text too long",IF(OR(NOT(ISNUMBER(G88)),NOT(ISNUMBER(H88))),"Pin must be two numbers",IF(OR(G88&lt;4,G88&gt;21.5,H88&lt;116,H88&gt;127),"Pin outside the Philippines",IF(J88="No","No permission: do not import",IF(J88&lt;&gt;"Yes","Waiting for permission",IF(AND(I88&lt;&gt;"Owner or manager",I88&lt;&gt;"Site visit"),"Confirm the pin",IF(K88=0,"Add its courts",IF(K88&gt;40,"Over 40 courts",IF(COUNTIFS(Courts!$A$2:$A$1001,A88,Courts!$G$2:$G$1001,"&lt;&gt;OK")&gt;0,"Fix its courts",IF(L88=0,"Needs an active court","Ready")))))))))))))</f>
      </c>
    </row>
    <row r="89">
      <c r="K89" s="4">
        <f>IF(A89="","",COUNTIF(Courts!$A$2:$A$1001,A89))</f>
      </c>
      <c r="L89" s="4">
        <f>IF(A89="","",COUNTIFS(Courts!$A$2:$A$1001,A89,Courts!$F$2:$F$1001,"Yes"))</f>
      </c>
      <c r="M89" s="4">
        <f>IF(A89="","",IF(COUNTIF($A$2:$A$201,A89)&gt;1,"Duplicate venue code",IF(OR(B89="",C89="",D89="",E89="",G89="",H89="",I89="",J89=""),"Missing details",IF(OR(LEN(A89)&gt;40,LEN(B89)&gt;120,LEN(C89)&gt;240,LEN(D89)&gt;80,LEN(E89)&gt;80),"Text too long",IF(OR(NOT(ISNUMBER(G89)),NOT(ISNUMBER(H89))),"Pin must be two numbers",IF(OR(G89&lt;4,G89&gt;21.5,H89&lt;116,H89&gt;127),"Pin outside the Philippines",IF(J89="No","No permission: do not import",IF(J89&lt;&gt;"Yes","Waiting for permission",IF(AND(I89&lt;&gt;"Owner or manager",I89&lt;&gt;"Site visit"),"Confirm the pin",IF(K89=0,"Add its courts",IF(K89&gt;40,"Over 40 courts",IF(COUNTIFS(Courts!$A$2:$A$1001,A89,Courts!$G$2:$G$1001,"&lt;&gt;OK")&gt;0,"Fix its courts",IF(L89=0,"Needs an active court","Ready")))))))))))))</f>
      </c>
    </row>
    <row r="90">
      <c r="K90" s="4">
        <f>IF(A90="","",COUNTIF(Courts!$A$2:$A$1001,A90))</f>
      </c>
      <c r="L90" s="4">
        <f>IF(A90="","",COUNTIFS(Courts!$A$2:$A$1001,A90,Courts!$F$2:$F$1001,"Yes"))</f>
      </c>
      <c r="M90" s="4">
        <f>IF(A90="","",IF(COUNTIF($A$2:$A$201,A90)&gt;1,"Duplicate venue code",IF(OR(B90="",C90="",D90="",E90="",G90="",H90="",I90="",J90=""),"Missing details",IF(OR(LEN(A90)&gt;40,LEN(B90)&gt;120,LEN(C90)&gt;240,LEN(D90)&gt;80,LEN(E90)&gt;80),"Text too long",IF(OR(NOT(ISNUMBER(G90)),NOT(ISNUMBER(H90))),"Pin must be two numbers",IF(OR(G90&lt;4,G90&gt;21.5,H90&lt;116,H90&gt;127),"Pin outside the Philippines",IF(J90="No","No permission: do not import",IF(J90&lt;&gt;"Yes","Waiting for permission",IF(AND(I90&lt;&gt;"Owner or manager",I90&lt;&gt;"Site visit"),"Confirm the pin",IF(K90=0,"Add its courts",IF(K90&gt;40,"Over 40 courts",IF(COUNTIFS(Courts!$A$2:$A$1001,A90,Courts!$G$2:$G$1001,"&lt;&gt;OK")&gt;0,"Fix its courts",IF(L90=0,"Needs an active court","Ready")))))))))))))</f>
      </c>
    </row>
    <row r="91">
      <c r="K91" s="4">
        <f>IF(A91="","",COUNTIF(Courts!$A$2:$A$1001,A91))</f>
      </c>
      <c r="L91" s="4">
        <f>IF(A91="","",COUNTIFS(Courts!$A$2:$A$1001,A91,Courts!$F$2:$F$1001,"Yes"))</f>
      </c>
      <c r="M91" s="4">
        <f>IF(A91="","",IF(COUNTIF($A$2:$A$201,A91)&gt;1,"Duplicate venue code",IF(OR(B91="",C91="",D91="",E91="",G91="",H91="",I91="",J91=""),"Missing details",IF(OR(LEN(A91)&gt;40,LEN(B91)&gt;120,LEN(C91)&gt;240,LEN(D91)&gt;80,LEN(E91)&gt;80),"Text too long",IF(OR(NOT(ISNUMBER(G91)),NOT(ISNUMBER(H91))),"Pin must be two numbers",IF(OR(G91&lt;4,G91&gt;21.5,H91&lt;116,H91&gt;127),"Pin outside the Philippines",IF(J91="No","No permission: do not import",IF(J91&lt;&gt;"Yes","Waiting for permission",IF(AND(I91&lt;&gt;"Owner or manager",I91&lt;&gt;"Site visit"),"Confirm the pin",IF(K91=0,"Add its courts",IF(K91&gt;40,"Over 40 courts",IF(COUNTIFS(Courts!$A$2:$A$1001,A91,Courts!$G$2:$G$1001,"&lt;&gt;OK")&gt;0,"Fix its courts",IF(L91=0,"Needs an active court","Ready")))))))))))))</f>
      </c>
    </row>
    <row r="92">
      <c r="K92" s="4">
        <f>IF(A92="","",COUNTIF(Courts!$A$2:$A$1001,A92))</f>
      </c>
      <c r="L92" s="4">
        <f>IF(A92="","",COUNTIFS(Courts!$A$2:$A$1001,A92,Courts!$F$2:$F$1001,"Yes"))</f>
      </c>
      <c r="M92" s="4">
        <f>IF(A92="","",IF(COUNTIF($A$2:$A$201,A92)&gt;1,"Duplicate venue code",IF(OR(B92="",C92="",D92="",E92="",G92="",H92="",I92="",J92=""),"Missing details",IF(OR(LEN(A92)&gt;40,LEN(B92)&gt;120,LEN(C92)&gt;240,LEN(D92)&gt;80,LEN(E92)&gt;80),"Text too long",IF(OR(NOT(ISNUMBER(G92)),NOT(ISNUMBER(H92))),"Pin must be two numbers",IF(OR(G92&lt;4,G92&gt;21.5,H92&lt;116,H92&gt;127),"Pin outside the Philippines",IF(J92="No","No permission: do not import",IF(J92&lt;&gt;"Yes","Waiting for permission",IF(AND(I92&lt;&gt;"Owner or manager",I92&lt;&gt;"Site visit"),"Confirm the pin",IF(K92=0,"Add its courts",IF(K92&gt;40,"Over 40 courts",IF(COUNTIFS(Courts!$A$2:$A$1001,A92,Courts!$G$2:$G$1001,"&lt;&gt;OK")&gt;0,"Fix its courts",IF(L92=0,"Needs an active court","Ready")))))))))))))</f>
      </c>
    </row>
    <row r="93">
      <c r="K93" s="4">
        <f>IF(A93="","",COUNTIF(Courts!$A$2:$A$1001,A93))</f>
      </c>
      <c r="L93" s="4">
        <f>IF(A93="","",COUNTIFS(Courts!$A$2:$A$1001,A93,Courts!$F$2:$F$1001,"Yes"))</f>
      </c>
      <c r="M93" s="4">
        <f>IF(A93="","",IF(COUNTIF($A$2:$A$201,A93)&gt;1,"Duplicate venue code",IF(OR(B93="",C93="",D93="",E93="",G93="",H93="",I93="",J93=""),"Missing details",IF(OR(LEN(A93)&gt;40,LEN(B93)&gt;120,LEN(C93)&gt;240,LEN(D93)&gt;80,LEN(E93)&gt;80),"Text too long",IF(OR(NOT(ISNUMBER(G93)),NOT(ISNUMBER(H93))),"Pin must be two numbers",IF(OR(G93&lt;4,G93&gt;21.5,H93&lt;116,H93&gt;127),"Pin outside the Philippines",IF(J93="No","No permission: do not import",IF(J93&lt;&gt;"Yes","Waiting for permission",IF(AND(I93&lt;&gt;"Owner or manager",I93&lt;&gt;"Site visit"),"Confirm the pin",IF(K93=0,"Add its courts",IF(K93&gt;40,"Over 40 courts",IF(COUNTIFS(Courts!$A$2:$A$1001,A93,Courts!$G$2:$G$1001,"&lt;&gt;OK")&gt;0,"Fix its courts",IF(L93=0,"Needs an active court","Ready")))))))))))))</f>
      </c>
    </row>
    <row r="94">
      <c r="K94" s="4">
        <f>IF(A94="","",COUNTIF(Courts!$A$2:$A$1001,A94))</f>
      </c>
      <c r="L94" s="4">
        <f>IF(A94="","",COUNTIFS(Courts!$A$2:$A$1001,A94,Courts!$F$2:$F$1001,"Yes"))</f>
      </c>
      <c r="M94" s="4">
        <f>IF(A94="","",IF(COUNTIF($A$2:$A$201,A94)&gt;1,"Duplicate venue code",IF(OR(B94="",C94="",D94="",E94="",G94="",H94="",I94="",J94=""),"Missing details",IF(OR(LEN(A94)&gt;40,LEN(B94)&gt;120,LEN(C94)&gt;240,LEN(D94)&gt;80,LEN(E94)&gt;80),"Text too long",IF(OR(NOT(ISNUMBER(G94)),NOT(ISNUMBER(H94))),"Pin must be two numbers",IF(OR(G94&lt;4,G94&gt;21.5,H94&lt;116,H94&gt;127),"Pin outside the Philippines",IF(J94="No","No permission: do not import",IF(J94&lt;&gt;"Yes","Waiting for permission",IF(AND(I94&lt;&gt;"Owner or manager",I94&lt;&gt;"Site visit"),"Confirm the pin",IF(K94=0,"Add its courts",IF(K94&gt;40,"Over 40 courts",IF(COUNTIFS(Courts!$A$2:$A$1001,A94,Courts!$G$2:$G$1001,"&lt;&gt;OK")&gt;0,"Fix its courts",IF(L94=0,"Needs an active court","Ready")))))))))))))</f>
      </c>
    </row>
    <row r="95">
      <c r="K95" s="4">
        <f>IF(A95="","",COUNTIF(Courts!$A$2:$A$1001,A95))</f>
      </c>
      <c r="L95" s="4">
        <f>IF(A95="","",COUNTIFS(Courts!$A$2:$A$1001,A95,Courts!$F$2:$F$1001,"Yes"))</f>
      </c>
      <c r="M95" s="4">
        <f>IF(A95="","",IF(COUNTIF($A$2:$A$201,A95)&gt;1,"Duplicate venue code",IF(OR(B95="",C95="",D95="",E95="",G95="",H95="",I95="",J95=""),"Missing details",IF(OR(LEN(A95)&gt;40,LEN(B95)&gt;120,LEN(C95)&gt;240,LEN(D95)&gt;80,LEN(E95)&gt;80),"Text too long",IF(OR(NOT(ISNUMBER(G95)),NOT(ISNUMBER(H95))),"Pin must be two numbers",IF(OR(G95&lt;4,G95&gt;21.5,H95&lt;116,H95&gt;127),"Pin outside the Philippines",IF(J95="No","No permission: do not import",IF(J95&lt;&gt;"Yes","Waiting for permission",IF(AND(I95&lt;&gt;"Owner or manager",I95&lt;&gt;"Site visit"),"Confirm the pin",IF(K95=0,"Add its courts",IF(K95&gt;40,"Over 40 courts",IF(COUNTIFS(Courts!$A$2:$A$1001,A95,Courts!$G$2:$G$1001,"&lt;&gt;OK")&gt;0,"Fix its courts",IF(L95=0,"Needs an active court","Ready")))))))))))))</f>
      </c>
    </row>
    <row r="96">
      <c r="K96" s="4">
        <f>IF(A96="","",COUNTIF(Courts!$A$2:$A$1001,A96))</f>
      </c>
      <c r="L96" s="4">
        <f>IF(A96="","",COUNTIFS(Courts!$A$2:$A$1001,A96,Courts!$F$2:$F$1001,"Yes"))</f>
      </c>
      <c r="M96" s="4">
        <f>IF(A96="","",IF(COUNTIF($A$2:$A$201,A96)&gt;1,"Duplicate venue code",IF(OR(B96="",C96="",D96="",E96="",G96="",H96="",I96="",J96=""),"Missing details",IF(OR(LEN(A96)&gt;40,LEN(B96)&gt;120,LEN(C96)&gt;240,LEN(D96)&gt;80,LEN(E96)&gt;80),"Text too long",IF(OR(NOT(ISNUMBER(G96)),NOT(ISNUMBER(H96))),"Pin must be two numbers",IF(OR(G96&lt;4,G96&gt;21.5,H96&lt;116,H96&gt;127),"Pin outside the Philippines",IF(J96="No","No permission: do not import",IF(J96&lt;&gt;"Yes","Waiting for permission",IF(AND(I96&lt;&gt;"Owner or manager",I96&lt;&gt;"Site visit"),"Confirm the pin",IF(K96=0,"Add its courts",IF(K96&gt;40,"Over 40 courts",IF(COUNTIFS(Courts!$A$2:$A$1001,A96,Courts!$G$2:$G$1001,"&lt;&gt;OK")&gt;0,"Fix its courts",IF(L96=0,"Needs an active court","Ready")))))))))))))</f>
      </c>
    </row>
    <row r="97">
      <c r="K97" s="4">
        <f>IF(A97="","",COUNTIF(Courts!$A$2:$A$1001,A97))</f>
      </c>
      <c r="L97" s="4">
        <f>IF(A97="","",COUNTIFS(Courts!$A$2:$A$1001,A97,Courts!$F$2:$F$1001,"Yes"))</f>
      </c>
      <c r="M97" s="4">
        <f>IF(A97="","",IF(COUNTIF($A$2:$A$201,A97)&gt;1,"Duplicate venue code",IF(OR(B97="",C97="",D97="",E97="",G97="",H97="",I97="",J97=""),"Missing details",IF(OR(LEN(A97)&gt;40,LEN(B97)&gt;120,LEN(C97)&gt;240,LEN(D97)&gt;80,LEN(E97)&gt;80),"Text too long",IF(OR(NOT(ISNUMBER(G97)),NOT(ISNUMBER(H97))),"Pin must be two numbers",IF(OR(G97&lt;4,G97&gt;21.5,H97&lt;116,H97&gt;127),"Pin outside the Philippines",IF(J97="No","No permission: do not import",IF(J97&lt;&gt;"Yes","Waiting for permission",IF(AND(I97&lt;&gt;"Owner or manager",I97&lt;&gt;"Site visit"),"Confirm the pin",IF(K97=0,"Add its courts",IF(K97&gt;40,"Over 40 courts",IF(COUNTIFS(Courts!$A$2:$A$1001,A97,Courts!$G$2:$G$1001,"&lt;&gt;OK")&gt;0,"Fix its courts",IF(L97=0,"Needs an active court","Ready")))))))))))))</f>
      </c>
    </row>
    <row r="98">
      <c r="K98" s="4">
        <f>IF(A98="","",COUNTIF(Courts!$A$2:$A$1001,A98))</f>
      </c>
      <c r="L98" s="4">
        <f>IF(A98="","",COUNTIFS(Courts!$A$2:$A$1001,A98,Courts!$F$2:$F$1001,"Yes"))</f>
      </c>
      <c r="M98" s="4">
        <f>IF(A98="","",IF(COUNTIF($A$2:$A$201,A98)&gt;1,"Duplicate venue code",IF(OR(B98="",C98="",D98="",E98="",G98="",H98="",I98="",J98=""),"Missing details",IF(OR(LEN(A98)&gt;40,LEN(B98)&gt;120,LEN(C98)&gt;240,LEN(D98)&gt;80,LEN(E98)&gt;80),"Text too long",IF(OR(NOT(ISNUMBER(G98)),NOT(ISNUMBER(H98))),"Pin must be two numbers",IF(OR(G98&lt;4,G98&gt;21.5,H98&lt;116,H98&gt;127),"Pin outside the Philippines",IF(J98="No","No permission: do not import",IF(J98&lt;&gt;"Yes","Waiting for permission",IF(AND(I98&lt;&gt;"Owner or manager",I98&lt;&gt;"Site visit"),"Confirm the pin",IF(K98=0,"Add its courts",IF(K98&gt;40,"Over 40 courts",IF(COUNTIFS(Courts!$A$2:$A$1001,A98,Courts!$G$2:$G$1001,"&lt;&gt;OK")&gt;0,"Fix its courts",IF(L98=0,"Needs an active court","Ready")))))))))))))</f>
      </c>
    </row>
    <row r="99">
      <c r="K99" s="4">
        <f>IF(A99="","",COUNTIF(Courts!$A$2:$A$1001,A99))</f>
      </c>
      <c r="L99" s="4">
        <f>IF(A99="","",COUNTIFS(Courts!$A$2:$A$1001,A99,Courts!$F$2:$F$1001,"Yes"))</f>
      </c>
      <c r="M99" s="4">
        <f>IF(A99="","",IF(COUNTIF($A$2:$A$201,A99)&gt;1,"Duplicate venue code",IF(OR(B99="",C99="",D99="",E99="",G99="",H99="",I99="",J99=""),"Missing details",IF(OR(LEN(A99)&gt;40,LEN(B99)&gt;120,LEN(C99)&gt;240,LEN(D99)&gt;80,LEN(E99)&gt;80),"Text too long",IF(OR(NOT(ISNUMBER(G99)),NOT(ISNUMBER(H99))),"Pin must be two numbers",IF(OR(G99&lt;4,G99&gt;21.5,H99&lt;116,H99&gt;127),"Pin outside the Philippines",IF(J99="No","No permission: do not import",IF(J99&lt;&gt;"Yes","Waiting for permission",IF(AND(I99&lt;&gt;"Owner or manager",I99&lt;&gt;"Site visit"),"Confirm the pin",IF(K99=0,"Add its courts",IF(K99&gt;40,"Over 40 courts",IF(COUNTIFS(Courts!$A$2:$A$1001,A99,Courts!$G$2:$G$1001,"&lt;&gt;OK")&gt;0,"Fix its courts",IF(L99=0,"Needs an active court","Ready")))))))))))))</f>
      </c>
    </row>
    <row r="100">
      <c r="K100" s="4">
        <f>IF(A100="","",COUNTIF(Courts!$A$2:$A$1001,A100))</f>
      </c>
      <c r="L100" s="4">
        <f>IF(A100="","",COUNTIFS(Courts!$A$2:$A$1001,A100,Courts!$F$2:$F$1001,"Yes"))</f>
      </c>
      <c r="M100" s="4">
        <f>IF(A100="","",IF(COUNTIF($A$2:$A$201,A100)&gt;1,"Duplicate venue code",IF(OR(B100="",C100="",D100="",E100="",G100="",H100="",I100="",J100=""),"Missing details",IF(OR(LEN(A100)&gt;40,LEN(B100)&gt;120,LEN(C100)&gt;240,LEN(D100)&gt;80,LEN(E100)&gt;80),"Text too long",IF(OR(NOT(ISNUMBER(G100)),NOT(ISNUMBER(H100))),"Pin must be two numbers",IF(OR(G100&lt;4,G100&gt;21.5,H100&lt;116,H100&gt;127),"Pin outside the Philippines",IF(J100="No","No permission: do not import",IF(J100&lt;&gt;"Yes","Waiting for permission",IF(AND(I100&lt;&gt;"Owner or manager",I100&lt;&gt;"Site visit"),"Confirm the pin",IF(K100=0,"Add its courts",IF(K100&gt;40,"Over 40 courts",IF(COUNTIFS(Courts!$A$2:$A$1001,A100,Courts!$G$2:$G$1001,"&lt;&gt;OK")&gt;0,"Fix its courts",IF(L100=0,"Needs an active court","Ready")))))))))))))</f>
      </c>
    </row>
    <row r="101">
      <c r="K101" s="4">
        <f>IF(A101="","",COUNTIF(Courts!$A$2:$A$1001,A101))</f>
      </c>
      <c r="L101" s="4">
        <f>IF(A101="","",COUNTIFS(Courts!$A$2:$A$1001,A101,Courts!$F$2:$F$1001,"Yes"))</f>
      </c>
      <c r="M101" s="4">
        <f>IF(A101="","",IF(COUNTIF($A$2:$A$201,A101)&gt;1,"Duplicate venue code",IF(OR(B101="",C101="",D101="",E101="",G101="",H101="",I101="",J101=""),"Missing details",IF(OR(LEN(A101)&gt;40,LEN(B101)&gt;120,LEN(C101)&gt;240,LEN(D101)&gt;80,LEN(E101)&gt;80),"Text too long",IF(OR(NOT(ISNUMBER(G101)),NOT(ISNUMBER(H101))),"Pin must be two numbers",IF(OR(G101&lt;4,G101&gt;21.5,H101&lt;116,H101&gt;127),"Pin outside the Philippines",IF(J101="No","No permission: do not import",IF(J101&lt;&gt;"Yes","Waiting for permission",IF(AND(I101&lt;&gt;"Owner or manager",I101&lt;&gt;"Site visit"),"Confirm the pin",IF(K101=0,"Add its courts",IF(K101&gt;40,"Over 40 courts",IF(COUNTIFS(Courts!$A$2:$A$1001,A101,Courts!$G$2:$G$1001,"&lt;&gt;OK")&gt;0,"Fix its courts",IF(L101=0,"Needs an active court","Ready")))))))))))))</f>
      </c>
    </row>
    <row r="102">
      <c r="K102" s="4">
        <f>IF(A102="","",COUNTIF(Courts!$A$2:$A$1001,A102))</f>
      </c>
      <c r="L102" s="4">
        <f>IF(A102="","",COUNTIFS(Courts!$A$2:$A$1001,A102,Courts!$F$2:$F$1001,"Yes"))</f>
      </c>
      <c r="M102" s="4">
        <f>IF(A102="","",IF(COUNTIF($A$2:$A$201,A102)&gt;1,"Duplicate venue code",IF(OR(B102="",C102="",D102="",E102="",G102="",H102="",I102="",J102=""),"Missing details",IF(OR(LEN(A102)&gt;40,LEN(B102)&gt;120,LEN(C102)&gt;240,LEN(D102)&gt;80,LEN(E102)&gt;80),"Text too long",IF(OR(NOT(ISNUMBER(G102)),NOT(ISNUMBER(H102))),"Pin must be two numbers",IF(OR(G102&lt;4,G102&gt;21.5,H102&lt;116,H102&gt;127),"Pin outside the Philippines",IF(J102="No","No permission: do not import",IF(J102&lt;&gt;"Yes","Waiting for permission",IF(AND(I102&lt;&gt;"Owner or manager",I102&lt;&gt;"Site visit"),"Confirm the pin",IF(K102=0,"Add its courts",IF(K102&gt;40,"Over 40 courts",IF(COUNTIFS(Courts!$A$2:$A$1001,A102,Courts!$G$2:$G$1001,"&lt;&gt;OK")&gt;0,"Fix its courts",IF(L102=0,"Needs an active court","Ready")))))))))))))</f>
      </c>
    </row>
    <row r="103">
      <c r="K103" s="4">
        <f>IF(A103="","",COUNTIF(Courts!$A$2:$A$1001,A103))</f>
      </c>
      <c r="L103" s="4">
        <f>IF(A103="","",COUNTIFS(Courts!$A$2:$A$1001,A103,Courts!$F$2:$F$1001,"Yes"))</f>
      </c>
      <c r="M103" s="4">
        <f>IF(A103="","",IF(COUNTIF($A$2:$A$201,A103)&gt;1,"Duplicate venue code",IF(OR(B103="",C103="",D103="",E103="",G103="",H103="",I103="",J103=""),"Missing details",IF(OR(LEN(A103)&gt;40,LEN(B103)&gt;120,LEN(C103)&gt;240,LEN(D103)&gt;80,LEN(E103)&gt;80),"Text too long",IF(OR(NOT(ISNUMBER(G103)),NOT(ISNUMBER(H103))),"Pin must be two numbers",IF(OR(G103&lt;4,G103&gt;21.5,H103&lt;116,H103&gt;127),"Pin outside the Philippines",IF(J103="No","No permission: do not import",IF(J103&lt;&gt;"Yes","Waiting for permission",IF(AND(I103&lt;&gt;"Owner or manager",I103&lt;&gt;"Site visit"),"Confirm the pin",IF(K103=0,"Add its courts",IF(K103&gt;40,"Over 40 courts",IF(COUNTIFS(Courts!$A$2:$A$1001,A103,Courts!$G$2:$G$1001,"&lt;&gt;OK")&gt;0,"Fix its courts",IF(L103=0,"Needs an active court","Ready")))))))))))))</f>
      </c>
    </row>
    <row r="104">
      <c r="K104" s="4">
        <f>IF(A104="","",COUNTIF(Courts!$A$2:$A$1001,A104))</f>
      </c>
      <c r="L104" s="4">
        <f>IF(A104="","",COUNTIFS(Courts!$A$2:$A$1001,A104,Courts!$F$2:$F$1001,"Yes"))</f>
      </c>
      <c r="M104" s="4">
        <f>IF(A104="","",IF(COUNTIF($A$2:$A$201,A104)&gt;1,"Duplicate venue code",IF(OR(B104="",C104="",D104="",E104="",G104="",H104="",I104="",J104=""),"Missing details",IF(OR(LEN(A104)&gt;40,LEN(B104)&gt;120,LEN(C104)&gt;240,LEN(D104)&gt;80,LEN(E104)&gt;80),"Text too long",IF(OR(NOT(ISNUMBER(G104)),NOT(ISNUMBER(H104))),"Pin must be two numbers",IF(OR(G104&lt;4,G104&gt;21.5,H104&lt;116,H104&gt;127),"Pin outside the Philippines",IF(J104="No","No permission: do not import",IF(J104&lt;&gt;"Yes","Waiting for permission",IF(AND(I104&lt;&gt;"Owner or manager",I104&lt;&gt;"Site visit"),"Confirm the pin",IF(K104=0,"Add its courts",IF(K104&gt;40,"Over 40 courts",IF(COUNTIFS(Courts!$A$2:$A$1001,A104,Courts!$G$2:$G$1001,"&lt;&gt;OK")&gt;0,"Fix its courts",IF(L104=0,"Needs an active court","Ready")))))))))))))</f>
      </c>
    </row>
    <row r="105">
      <c r="K105" s="4">
        <f>IF(A105="","",COUNTIF(Courts!$A$2:$A$1001,A105))</f>
      </c>
      <c r="L105" s="4">
        <f>IF(A105="","",COUNTIFS(Courts!$A$2:$A$1001,A105,Courts!$F$2:$F$1001,"Yes"))</f>
      </c>
      <c r="M105" s="4">
        <f>IF(A105="","",IF(COUNTIF($A$2:$A$201,A105)&gt;1,"Duplicate venue code",IF(OR(B105="",C105="",D105="",E105="",G105="",H105="",I105="",J105=""),"Missing details",IF(OR(LEN(A105)&gt;40,LEN(B105)&gt;120,LEN(C105)&gt;240,LEN(D105)&gt;80,LEN(E105)&gt;80),"Text too long",IF(OR(NOT(ISNUMBER(G105)),NOT(ISNUMBER(H105))),"Pin must be two numbers",IF(OR(G105&lt;4,G105&gt;21.5,H105&lt;116,H105&gt;127),"Pin outside the Philippines",IF(J105="No","No permission: do not import",IF(J105&lt;&gt;"Yes","Waiting for permission",IF(AND(I105&lt;&gt;"Owner or manager",I105&lt;&gt;"Site visit"),"Confirm the pin",IF(K105=0,"Add its courts",IF(K105&gt;40,"Over 40 courts",IF(COUNTIFS(Courts!$A$2:$A$1001,A105,Courts!$G$2:$G$1001,"&lt;&gt;OK")&gt;0,"Fix its courts",IF(L105=0,"Needs an active court","Ready")))))))))))))</f>
      </c>
    </row>
    <row r="106">
      <c r="K106" s="4">
        <f>IF(A106="","",COUNTIF(Courts!$A$2:$A$1001,A106))</f>
      </c>
      <c r="L106" s="4">
        <f>IF(A106="","",COUNTIFS(Courts!$A$2:$A$1001,A106,Courts!$F$2:$F$1001,"Yes"))</f>
      </c>
      <c r="M106" s="4">
        <f>IF(A106="","",IF(COUNTIF($A$2:$A$201,A106)&gt;1,"Duplicate venue code",IF(OR(B106="",C106="",D106="",E106="",G106="",H106="",I106="",J106=""),"Missing details",IF(OR(LEN(A106)&gt;40,LEN(B106)&gt;120,LEN(C106)&gt;240,LEN(D106)&gt;80,LEN(E106)&gt;80),"Text too long",IF(OR(NOT(ISNUMBER(G106)),NOT(ISNUMBER(H106))),"Pin must be two numbers",IF(OR(G106&lt;4,G106&gt;21.5,H106&lt;116,H106&gt;127),"Pin outside the Philippines",IF(J106="No","No permission: do not import",IF(J106&lt;&gt;"Yes","Waiting for permission",IF(AND(I106&lt;&gt;"Owner or manager",I106&lt;&gt;"Site visit"),"Confirm the pin",IF(K106=0,"Add its courts",IF(K106&gt;40,"Over 40 courts",IF(COUNTIFS(Courts!$A$2:$A$1001,A106,Courts!$G$2:$G$1001,"&lt;&gt;OK")&gt;0,"Fix its courts",IF(L106=0,"Needs an active court","Ready")))))))))))))</f>
      </c>
    </row>
    <row r="107">
      <c r="K107" s="4">
        <f>IF(A107="","",COUNTIF(Courts!$A$2:$A$1001,A107))</f>
      </c>
      <c r="L107" s="4">
        <f>IF(A107="","",COUNTIFS(Courts!$A$2:$A$1001,A107,Courts!$F$2:$F$1001,"Yes"))</f>
      </c>
      <c r="M107" s="4">
        <f>IF(A107="","",IF(COUNTIF($A$2:$A$201,A107)&gt;1,"Duplicate venue code",IF(OR(B107="",C107="",D107="",E107="",G107="",H107="",I107="",J107=""),"Missing details",IF(OR(LEN(A107)&gt;40,LEN(B107)&gt;120,LEN(C107)&gt;240,LEN(D107)&gt;80,LEN(E107)&gt;80),"Text too long",IF(OR(NOT(ISNUMBER(G107)),NOT(ISNUMBER(H107))),"Pin must be two numbers",IF(OR(G107&lt;4,G107&gt;21.5,H107&lt;116,H107&gt;127),"Pin outside the Philippines",IF(J107="No","No permission: do not import",IF(J107&lt;&gt;"Yes","Waiting for permission",IF(AND(I107&lt;&gt;"Owner or manager",I107&lt;&gt;"Site visit"),"Confirm the pin",IF(K107=0,"Add its courts",IF(K107&gt;40,"Over 40 courts",IF(COUNTIFS(Courts!$A$2:$A$1001,A107,Courts!$G$2:$G$1001,"&lt;&gt;OK")&gt;0,"Fix its courts",IF(L107=0,"Needs an active court","Ready")))))))))))))</f>
      </c>
    </row>
    <row r="108">
      <c r="K108" s="4">
        <f>IF(A108="","",COUNTIF(Courts!$A$2:$A$1001,A108))</f>
      </c>
      <c r="L108" s="4">
        <f>IF(A108="","",COUNTIFS(Courts!$A$2:$A$1001,A108,Courts!$F$2:$F$1001,"Yes"))</f>
      </c>
      <c r="M108" s="4">
        <f>IF(A108="","",IF(COUNTIF($A$2:$A$201,A108)&gt;1,"Duplicate venue code",IF(OR(B108="",C108="",D108="",E108="",G108="",H108="",I108="",J108=""),"Missing details",IF(OR(LEN(A108)&gt;40,LEN(B108)&gt;120,LEN(C108)&gt;240,LEN(D108)&gt;80,LEN(E108)&gt;80),"Text too long",IF(OR(NOT(ISNUMBER(G108)),NOT(ISNUMBER(H108))),"Pin must be two numbers",IF(OR(G108&lt;4,G108&gt;21.5,H108&lt;116,H108&gt;127),"Pin outside the Philippines",IF(J108="No","No permission: do not import",IF(J108&lt;&gt;"Yes","Waiting for permission",IF(AND(I108&lt;&gt;"Owner or manager",I108&lt;&gt;"Site visit"),"Confirm the pin",IF(K108=0,"Add its courts",IF(K108&gt;40,"Over 40 courts",IF(COUNTIFS(Courts!$A$2:$A$1001,A108,Courts!$G$2:$G$1001,"&lt;&gt;OK")&gt;0,"Fix its courts",IF(L108=0,"Needs an active court","Ready")))))))))))))</f>
      </c>
    </row>
    <row r="109">
      <c r="K109" s="4">
        <f>IF(A109="","",COUNTIF(Courts!$A$2:$A$1001,A109))</f>
      </c>
      <c r="L109" s="4">
        <f>IF(A109="","",COUNTIFS(Courts!$A$2:$A$1001,A109,Courts!$F$2:$F$1001,"Yes"))</f>
      </c>
      <c r="M109" s="4">
        <f>IF(A109="","",IF(COUNTIF($A$2:$A$201,A109)&gt;1,"Duplicate venue code",IF(OR(B109="",C109="",D109="",E109="",G109="",H109="",I109="",J109=""),"Missing details",IF(OR(LEN(A109)&gt;40,LEN(B109)&gt;120,LEN(C109)&gt;240,LEN(D109)&gt;80,LEN(E109)&gt;80),"Text too long",IF(OR(NOT(ISNUMBER(G109)),NOT(ISNUMBER(H109))),"Pin must be two numbers",IF(OR(G109&lt;4,G109&gt;21.5,H109&lt;116,H109&gt;127),"Pin outside the Philippines",IF(J109="No","No permission: do not import",IF(J109&lt;&gt;"Yes","Waiting for permission",IF(AND(I109&lt;&gt;"Owner or manager",I109&lt;&gt;"Site visit"),"Confirm the pin",IF(K109=0,"Add its courts",IF(K109&gt;40,"Over 40 courts",IF(COUNTIFS(Courts!$A$2:$A$1001,A109,Courts!$G$2:$G$1001,"&lt;&gt;OK")&gt;0,"Fix its courts",IF(L109=0,"Needs an active court","Ready")))))))))))))</f>
      </c>
    </row>
    <row r="110">
      <c r="K110" s="4">
        <f>IF(A110="","",COUNTIF(Courts!$A$2:$A$1001,A110))</f>
      </c>
      <c r="L110" s="4">
        <f>IF(A110="","",COUNTIFS(Courts!$A$2:$A$1001,A110,Courts!$F$2:$F$1001,"Yes"))</f>
      </c>
      <c r="M110" s="4">
        <f>IF(A110="","",IF(COUNTIF($A$2:$A$201,A110)&gt;1,"Duplicate venue code",IF(OR(B110="",C110="",D110="",E110="",G110="",H110="",I110="",J110=""),"Missing details",IF(OR(LEN(A110)&gt;40,LEN(B110)&gt;120,LEN(C110)&gt;240,LEN(D110)&gt;80,LEN(E110)&gt;80),"Text too long",IF(OR(NOT(ISNUMBER(G110)),NOT(ISNUMBER(H110))),"Pin must be two numbers",IF(OR(G110&lt;4,G110&gt;21.5,H110&lt;116,H110&gt;127),"Pin outside the Philippines",IF(J110="No","No permission: do not import",IF(J110&lt;&gt;"Yes","Waiting for permission",IF(AND(I110&lt;&gt;"Owner or manager",I110&lt;&gt;"Site visit"),"Confirm the pin",IF(K110=0,"Add its courts",IF(K110&gt;40,"Over 40 courts",IF(COUNTIFS(Courts!$A$2:$A$1001,A110,Courts!$G$2:$G$1001,"&lt;&gt;OK")&gt;0,"Fix its courts",IF(L110=0,"Needs an active court","Ready")))))))))))))</f>
      </c>
    </row>
    <row r="111">
      <c r="K111" s="4">
        <f>IF(A111="","",COUNTIF(Courts!$A$2:$A$1001,A111))</f>
      </c>
      <c r="L111" s="4">
        <f>IF(A111="","",COUNTIFS(Courts!$A$2:$A$1001,A111,Courts!$F$2:$F$1001,"Yes"))</f>
      </c>
      <c r="M111" s="4">
        <f>IF(A111="","",IF(COUNTIF($A$2:$A$201,A111)&gt;1,"Duplicate venue code",IF(OR(B111="",C111="",D111="",E111="",G111="",H111="",I111="",J111=""),"Missing details",IF(OR(LEN(A111)&gt;40,LEN(B111)&gt;120,LEN(C111)&gt;240,LEN(D111)&gt;80,LEN(E111)&gt;80),"Text too long",IF(OR(NOT(ISNUMBER(G111)),NOT(ISNUMBER(H111))),"Pin must be two numbers",IF(OR(G111&lt;4,G111&gt;21.5,H111&lt;116,H111&gt;127),"Pin outside the Philippines",IF(J111="No","No permission: do not import",IF(J111&lt;&gt;"Yes","Waiting for permission",IF(AND(I111&lt;&gt;"Owner or manager",I111&lt;&gt;"Site visit"),"Confirm the pin",IF(K111=0,"Add its courts",IF(K111&gt;40,"Over 40 courts",IF(COUNTIFS(Courts!$A$2:$A$1001,A111,Courts!$G$2:$G$1001,"&lt;&gt;OK")&gt;0,"Fix its courts",IF(L111=0,"Needs an active court","Ready")))))))))))))</f>
      </c>
    </row>
    <row r="112">
      <c r="K112" s="4">
        <f>IF(A112="","",COUNTIF(Courts!$A$2:$A$1001,A112))</f>
      </c>
      <c r="L112" s="4">
        <f>IF(A112="","",COUNTIFS(Courts!$A$2:$A$1001,A112,Courts!$F$2:$F$1001,"Yes"))</f>
      </c>
      <c r="M112" s="4">
        <f>IF(A112="","",IF(COUNTIF($A$2:$A$201,A112)&gt;1,"Duplicate venue code",IF(OR(B112="",C112="",D112="",E112="",G112="",H112="",I112="",J112=""),"Missing details",IF(OR(LEN(A112)&gt;40,LEN(B112)&gt;120,LEN(C112)&gt;240,LEN(D112)&gt;80,LEN(E112)&gt;80),"Text too long",IF(OR(NOT(ISNUMBER(G112)),NOT(ISNUMBER(H112))),"Pin must be two numbers",IF(OR(G112&lt;4,G112&gt;21.5,H112&lt;116,H112&gt;127),"Pin outside the Philippines",IF(J112="No","No permission: do not import",IF(J112&lt;&gt;"Yes","Waiting for permission",IF(AND(I112&lt;&gt;"Owner or manager",I112&lt;&gt;"Site visit"),"Confirm the pin",IF(K112=0,"Add its courts",IF(K112&gt;40,"Over 40 courts",IF(COUNTIFS(Courts!$A$2:$A$1001,A112,Courts!$G$2:$G$1001,"&lt;&gt;OK")&gt;0,"Fix its courts",IF(L112=0,"Needs an active court","Ready")))))))))))))</f>
      </c>
    </row>
    <row r="113">
      <c r="K113" s="4">
        <f>IF(A113="","",COUNTIF(Courts!$A$2:$A$1001,A113))</f>
      </c>
      <c r="L113" s="4">
        <f>IF(A113="","",COUNTIFS(Courts!$A$2:$A$1001,A113,Courts!$F$2:$F$1001,"Yes"))</f>
      </c>
      <c r="M113" s="4">
        <f>IF(A113="","",IF(COUNTIF($A$2:$A$201,A113)&gt;1,"Duplicate venue code",IF(OR(B113="",C113="",D113="",E113="",G113="",H113="",I113="",J113=""),"Missing details",IF(OR(LEN(A113)&gt;40,LEN(B113)&gt;120,LEN(C113)&gt;240,LEN(D113)&gt;80,LEN(E113)&gt;80),"Text too long",IF(OR(NOT(ISNUMBER(G113)),NOT(ISNUMBER(H113))),"Pin must be two numbers",IF(OR(G113&lt;4,G113&gt;21.5,H113&lt;116,H113&gt;127),"Pin outside the Philippines",IF(J113="No","No permission: do not import",IF(J113&lt;&gt;"Yes","Waiting for permission",IF(AND(I113&lt;&gt;"Owner or manager",I113&lt;&gt;"Site visit"),"Confirm the pin",IF(K113=0,"Add its courts",IF(K113&gt;40,"Over 40 courts",IF(COUNTIFS(Courts!$A$2:$A$1001,A113,Courts!$G$2:$G$1001,"&lt;&gt;OK")&gt;0,"Fix its courts",IF(L113=0,"Needs an active court","Ready")))))))))))))</f>
      </c>
    </row>
    <row r="114">
      <c r="K114" s="4">
        <f>IF(A114="","",COUNTIF(Courts!$A$2:$A$1001,A114))</f>
      </c>
      <c r="L114" s="4">
        <f>IF(A114="","",COUNTIFS(Courts!$A$2:$A$1001,A114,Courts!$F$2:$F$1001,"Yes"))</f>
      </c>
      <c r="M114" s="4">
        <f>IF(A114="","",IF(COUNTIF($A$2:$A$201,A114)&gt;1,"Duplicate venue code",IF(OR(B114="",C114="",D114="",E114="",G114="",H114="",I114="",J114=""),"Missing details",IF(OR(LEN(A114)&gt;40,LEN(B114)&gt;120,LEN(C114)&gt;240,LEN(D114)&gt;80,LEN(E114)&gt;80),"Text too long",IF(OR(NOT(ISNUMBER(G114)),NOT(ISNUMBER(H114))),"Pin must be two numbers",IF(OR(G114&lt;4,G114&gt;21.5,H114&lt;116,H114&gt;127),"Pin outside the Philippines",IF(J114="No","No permission: do not import",IF(J114&lt;&gt;"Yes","Waiting for permission",IF(AND(I114&lt;&gt;"Owner or manager",I114&lt;&gt;"Site visit"),"Confirm the pin",IF(K114=0,"Add its courts",IF(K114&gt;40,"Over 40 courts",IF(COUNTIFS(Courts!$A$2:$A$1001,A114,Courts!$G$2:$G$1001,"&lt;&gt;OK")&gt;0,"Fix its courts",IF(L114=0,"Needs an active court","Ready")))))))))))))</f>
      </c>
    </row>
    <row r="115">
      <c r="K115" s="4">
        <f>IF(A115="","",COUNTIF(Courts!$A$2:$A$1001,A115))</f>
      </c>
      <c r="L115" s="4">
        <f>IF(A115="","",COUNTIFS(Courts!$A$2:$A$1001,A115,Courts!$F$2:$F$1001,"Yes"))</f>
      </c>
      <c r="M115" s="4">
        <f>IF(A115="","",IF(COUNTIF($A$2:$A$201,A115)&gt;1,"Duplicate venue code",IF(OR(B115="",C115="",D115="",E115="",G115="",H115="",I115="",J115=""),"Missing details",IF(OR(LEN(A115)&gt;40,LEN(B115)&gt;120,LEN(C115)&gt;240,LEN(D115)&gt;80,LEN(E115)&gt;80),"Text too long",IF(OR(NOT(ISNUMBER(G115)),NOT(ISNUMBER(H115))),"Pin must be two numbers",IF(OR(G115&lt;4,G115&gt;21.5,H115&lt;116,H115&gt;127),"Pin outside the Philippines",IF(J115="No","No permission: do not import",IF(J115&lt;&gt;"Yes","Waiting for permission",IF(AND(I115&lt;&gt;"Owner or manager",I115&lt;&gt;"Site visit"),"Confirm the pin",IF(K115=0,"Add its courts",IF(K115&gt;40,"Over 40 courts",IF(COUNTIFS(Courts!$A$2:$A$1001,A115,Courts!$G$2:$G$1001,"&lt;&gt;OK")&gt;0,"Fix its courts",IF(L115=0,"Needs an active court","Ready")))))))))))))</f>
      </c>
    </row>
    <row r="116">
      <c r="K116" s="4">
        <f>IF(A116="","",COUNTIF(Courts!$A$2:$A$1001,A116))</f>
      </c>
      <c r="L116" s="4">
        <f>IF(A116="","",COUNTIFS(Courts!$A$2:$A$1001,A116,Courts!$F$2:$F$1001,"Yes"))</f>
      </c>
      <c r="M116" s="4">
        <f>IF(A116="","",IF(COUNTIF($A$2:$A$201,A116)&gt;1,"Duplicate venue code",IF(OR(B116="",C116="",D116="",E116="",G116="",H116="",I116="",J116=""),"Missing details",IF(OR(LEN(A116)&gt;40,LEN(B116)&gt;120,LEN(C116)&gt;240,LEN(D116)&gt;80,LEN(E116)&gt;80),"Text too long",IF(OR(NOT(ISNUMBER(G116)),NOT(ISNUMBER(H116))),"Pin must be two numbers",IF(OR(G116&lt;4,G116&gt;21.5,H116&lt;116,H116&gt;127),"Pin outside the Philippines",IF(J116="No","No permission: do not import",IF(J116&lt;&gt;"Yes","Waiting for permission",IF(AND(I116&lt;&gt;"Owner or manager",I116&lt;&gt;"Site visit"),"Confirm the pin",IF(K116=0,"Add its courts",IF(K116&gt;40,"Over 40 courts",IF(COUNTIFS(Courts!$A$2:$A$1001,A116,Courts!$G$2:$G$1001,"&lt;&gt;OK")&gt;0,"Fix its courts",IF(L116=0,"Needs an active court","Ready")))))))))))))</f>
      </c>
    </row>
    <row r="117">
      <c r="K117" s="4">
        <f>IF(A117="","",COUNTIF(Courts!$A$2:$A$1001,A117))</f>
      </c>
      <c r="L117" s="4">
        <f>IF(A117="","",COUNTIFS(Courts!$A$2:$A$1001,A117,Courts!$F$2:$F$1001,"Yes"))</f>
      </c>
      <c r="M117" s="4">
        <f>IF(A117="","",IF(COUNTIF($A$2:$A$201,A117)&gt;1,"Duplicate venue code",IF(OR(B117="",C117="",D117="",E117="",G117="",H117="",I117="",J117=""),"Missing details",IF(OR(LEN(A117)&gt;40,LEN(B117)&gt;120,LEN(C117)&gt;240,LEN(D117)&gt;80,LEN(E117)&gt;80),"Text too long",IF(OR(NOT(ISNUMBER(G117)),NOT(ISNUMBER(H117))),"Pin must be two numbers",IF(OR(G117&lt;4,G117&gt;21.5,H117&lt;116,H117&gt;127),"Pin outside the Philippines",IF(J117="No","No permission: do not import",IF(J117&lt;&gt;"Yes","Waiting for permission",IF(AND(I117&lt;&gt;"Owner or manager",I117&lt;&gt;"Site visit"),"Confirm the pin",IF(K117=0,"Add its courts",IF(K117&gt;40,"Over 40 courts",IF(COUNTIFS(Courts!$A$2:$A$1001,A117,Courts!$G$2:$G$1001,"&lt;&gt;OK")&gt;0,"Fix its courts",IF(L117=0,"Needs an active court","Ready")))))))))))))</f>
      </c>
    </row>
    <row r="118">
      <c r="K118" s="4">
        <f>IF(A118="","",COUNTIF(Courts!$A$2:$A$1001,A118))</f>
      </c>
      <c r="L118" s="4">
        <f>IF(A118="","",COUNTIFS(Courts!$A$2:$A$1001,A118,Courts!$F$2:$F$1001,"Yes"))</f>
      </c>
      <c r="M118" s="4">
        <f>IF(A118="","",IF(COUNTIF($A$2:$A$201,A118)&gt;1,"Duplicate venue code",IF(OR(B118="",C118="",D118="",E118="",G118="",H118="",I118="",J118=""),"Missing details",IF(OR(LEN(A118)&gt;40,LEN(B118)&gt;120,LEN(C118)&gt;240,LEN(D118)&gt;80,LEN(E118)&gt;80),"Text too long",IF(OR(NOT(ISNUMBER(G118)),NOT(ISNUMBER(H118))),"Pin must be two numbers",IF(OR(G118&lt;4,G118&gt;21.5,H118&lt;116,H118&gt;127),"Pin outside the Philippines",IF(J118="No","No permission: do not import",IF(J118&lt;&gt;"Yes","Waiting for permission",IF(AND(I118&lt;&gt;"Owner or manager",I118&lt;&gt;"Site visit"),"Confirm the pin",IF(K118=0,"Add its courts",IF(K118&gt;40,"Over 40 courts",IF(COUNTIFS(Courts!$A$2:$A$1001,A118,Courts!$G$2:$G$1001,"&lt;&gt;OK")&gt;0,"Fix its courts",IF(L118=0,"Needs an active court","Ready")))))))))))))</f>
      </c>
    </row>
    <row r="119">
      <c r="K119" s="4">
        <f>IF(A119="","",COUNTIF(Courts!$A$2:$A$1001,A119))</f>
      </c>
      <c r="L119" s="4">
        <f>IF(A119="","",COUNTIFS(Courts!$A$2:$A$1001,A119,Courts!$F$2:$F$1001,"Yes"))</f>
      </c>
      <c r="M119" s="4">
        <f>IF(A119="","",IF(COUNTIF($A$2:$A$201,A119)&gt;1,"Duplicate venue code",IF(OR(B119="",C119="",D119="",E119="",G119="",H119="",I119="",J119=""),"Missing details",IF(OR(LEN(A119)&gt;40,LEN(B119)&gt;120,LEN(C119)&gt;240,LEN(D119)&gt;80,LEN(E119)&gt;80),"Text too long",IF(OR(NOT(ISNUMBER(G119)),NOT(ISNUMBER(H119))),"Pin must be two numbers",IF(OR(G119&lt;4,G119&gt;21.5,H119&lt;116,H119&gt;127),"Pin outside the Philippines",IF(J119="No","No permission: do not import",IF(J119&lt;&gt;"Yes","Waiting for permission",IF(AND(I119&lt;&gt;"Owner or manager",I119&lt;&gt;"Site visit"),"Confirm the pin",IF(K119=0,"Add its courts",IF(K119&gt;40,"Over 40 courts",IF(COUNTIFS(Courts!$A$2:$A$1001,A119,Courts!$G$2:$G$1001,"&lt;&gt;OK")&gt;0,"Fix its courts",IF(L119=0,"Needs an active court","Ready")))))))))))))</f>
      </c>
    </row>
    <row r="120">
      <c r="K120" s="4">
        <f>IF(A120="","",COUNTIF(Courts!$A$2:$A$1001,A120))</f>
      </c>
      <c r="L120" s="4">
        <f>IF(A120="","",COUNTIFS(Courts!$A$2:$A$1001,A120,Courts!$F$2:$F$1001,"Yes"))</f>
      </c>
      <c r="M120" s="4">
        <f>IF(A120="","",IF(COUNTIF($A$2:$A$201,A120)&gt;1,"Duplicate venue code",IF(OR(B120="",C120="",D120="",E120="",G120="",H120="",I120="",J120=""),"Missing details",IF(OR(LEN(A120)&gt;40,LEN(B120)&gt;120,LEN(C120)&gt;240,LEN(D120)&gt;80,LEN(E120)&gt;80),"Text too long",IF(OR(NOT(ISNUMBER(G120)),NOT(ISNUMBER(H120))),"Pin must be two numbers",IF(OR(G120&lt;4,G120&gt;21.5,H120&lt;116,H120&gt;127),"Pin outside the Philippines",IF(J120="No","No permission: do not import",IF(J120&lt;&gt;"Yes","Waiting for permission",IF(AND(I120&lt;&gt;"Owner or manager",I120&lt;&gt;"Site visit"),"Confirm the pin",IF(K120=0,"Add its courts",IF(K120&gt;40,"Over 40 courts",IF(COUNTIFS(Courts!$A$2:$A$1001,A120,Courts!$G$2:$G$1001,"&lt;&gt;OK")&gt;0,"Fix its courts",IF(L120=0,"Needs an active court","Ready")))))))))))))</f>
      </c>
    </row>
    <row r="121">
      <c r="K121" s="4">
        <f>IF(A121="","",COUNTIF(Courts!$A$2:$A$1001,A121))</f>
      </c>
      <c r="L121" s="4">
        <f>IF(A121="","",COUNTIFS(Courts!$A$2:$A$1001,A121,Courts!$F$2:$F$1001,"Yes"))</f>
      </c>
      <c r="M121" s="4">
        <f>IF(A121="","",IF(COUNTIF($A$2:$A$201,A121)&gt;1,"Duplicate venue code",IF(OR(B121="",C121="",D121="",E121="",G121="",H121="",I121="",J121=""),"Missing details",IF(OR(LEN(A121)&gt;40,LEN(B121)&gt;120,LEN(C121)&gt;240,LEN(D121)&gt;80,LEN(E121)&gt;80),"Text too long",IF(OR(NOT(ISNUMBER(G121)),NOT(ISNUMBER(H121))),"Pin must be two numbers",IF(OR(G121&lt;4,G121&gt;21.5,H121&lt;116,H121&gt;127),"Pin outside the Philippines",IF(J121="No","No permission: do not import",IF(J121&lt;&gt;"Yes","Waiting for permission",IF(AND(I121&lt;&gt;"Owner or manager",I121&lt;&gt;"Site visit"),"Confirm the pin",IF(K121=0,"Add its courts",IF(K121&gt;40,"Over 40 courts",IF(COUNTIFS(Courts!$A$2:$A$1001,A121,Courts!$G$2:$G$1001,"&lt;&gt;OK")&gt;0,"Fix its courts",IF(L121=0,"Needs an active court","Ready")))))))))))))</f>
      </c>
    </row>
    <row r="122">
      <c r="K122" s="4">
        <f>IF(A122="","",COUNTIF(Courts!$A$2:$A$1001,A122))</f>
      </c>
      <c r="L122" s="4">
        <f>IF(A122="","",COUNTIFS(Courts!$A$2:$A$1001,A122,Courts!$F$2:$F$1001,"Yes"))</f>
      </c>
      <c r="M122" s="4">
        <f>IF(A122="","",IF(COUNTIF($A$2:$A$201,A122)&gt;1,"Duplicate venue code",IF(OR(B122="",C122="",D122="",E122="",G122="",H122="",I122="",J122=""),"Missing details",IF(OR(LEN(A122)&gt;40,LEN(B122)&gt;120,LEN(C122)&gt;240,LEN(D122)&gt;80,LEN(E122)&gt;80),"Text too long",IF(OR(NOT(ISNUMBER(G122)),NOT(ISNUMBER(H122))),"Pin must be two numbers",IF(OR(G122&lt;4,G122&gt;21.5,H122&lt;116,H122&gt;127),"Pin outside the Philippines",IF(J122="No","No permission: do not import",IF(J122&lt;&gt;"Yes","Waiting for permission",IF(AND(I122&lt;&gt;"Owner or manager",I122&lt;&gt;"Site visit"),"Confirm the pin",IF(K122=0,"Add its courts",IF(K122&gt;40,"Over 40 courts",IF(COUNTIFS(Courts!$A$2:$A$1001,A122,Courts!$G$2:$G$1001,"&lt;&gt;OK")&gt;0,"Fix its courts",IF(L122=0,"Needs an active court","Ready")))))))))))))</f>
      </c>
    </row>
    <row r="123">
      <c r="K123" s="4">
        <f>IF(A123="","",COUNTIF(Courts!$A$2:$A$1001,A123))</f>
      </c>
      <c r="L123" s="4">
        <f>IF(A123="","",COUNTIFS(Courts!$A$2:$A$1001,A123,Courts!$F$2:$F$1001,"Yes"))</f>
      </c>
      <c r="M123" s="4">
        <f>IF(A123="","",IF(COUNTIF($A$2:$A$201,A123)&gt;1,"Duplicate venue code",IF(OR(B123="",C123="",D123="",E123="",G123="",H123="",I123="",J123=""),"Missing details",IF(OR(LEN(A123)&gt;40,LEN(B123)&gt;120,LEN(C123)&gt;240,LEN(D123)&gt;80,LEN(E123)&gt;80),"Text too long",IF(OR(NOT(ISNUMBER(G123)),NOT(ISNUMBER(H123))),"Pin must be two numbers",IF(OR(G123&lt;4,G123&gt;21.5,H123&lt;116,H123&gt;127),"Pin outside the Philippines",IF(J123="No","No permission: do not import",IF(J123&lt;&gt;"Yes","Waiting for permission",IF(AND(I123&lt;&gt;"Owner or manager",I123&lt;&gt;"Site visit"),"Confirm the pin",IF(K123=0,"Add its courts",IF(K123&gt;40,"Over 40 courts",IF(COUNTIFS(Courts!$A$2:$A$1001,A123,Courts!$G$2:$G$1001,"&lt;&gt;OK")&gt;0,"Fix its courts",IF(L123=0,"Needs an active court","Ready")))))))))))))</f>
      </c>
    </row>
    <row r="124">
      <c r="K124" s="4">
        <f>IF(A124="","",COUNTIF(Courts!$A$2:$A$1001,A124))</f>
      </c>
      <c r="L124" s="4">
        <f>IF(A124="","",COUNTIFS(Courts!$A$2:$A$1001,A124,Courts!$F$2:$F$1001,"Yes"))</f>
      </c>
      <c r="M124" s="4">
        <f>IF(A124="","",IF(COUNTIF($A$2:$A$201,A124)&gt;1,"Duplicate venue code",IF(OR(B124="",C124="",D124="",E124="",G124="",H124="",I124="",J124=""),"Missing details",IF(OR(LEN(A124)&gt;40,LEN(B124)&gt;120,LEN(C124)&gt;240,LEN(D124)&gt;80,LEN(E124)&gt;80),"Text too long",IF(OR(NOT(ISNUMBER(G124)),NOT(ISNUMBER(H124))),"Pin must be two numbers",IF(OR(G124&lt;4,G124&gt;21.5,H124&lt;116,H124&gt;127),"Pin outside the Philippines",IF(J124="No","No permission: do not import",IF(J124&lt;&gt;"Yes","Waiting for permission",IF(AND(I124&lt;&gt;"Owner or manager",I124&lt;&gt;"Site visit"),"Confirm the pin",IF(K124=0,"Add its courts",IF(K124&gt;40,"Over 40 courts",IF(COUNTIFS(Courts!$A$2:$A$1001,A124,Courts!$G$2:$G$1001,"&lt;&gt;OK")&gt;0,"Fix its courts",IF(L124=0,"Needs an active court","Ready")))))))))))))</f>
      </c>
    </row>
    <row r="125">
      <c r="K125" s="4">
        <f>IF(A125="","",COUNTIF(Courts!$A$2:$A$1001,A125))</f>
      </c>
      <c r="L125" s="4">
        <f>IF(A125="","",COUNTIFS(Courts!$A$2:$A$1001,A125,Courts!$F$2:$F$1001,"Yes"))</f>
      </c>
      <c r="M125" s="4">
        <f>IF(A125="","",IF(COUNTIF($A$2:$A$201,A125)&gt;1,"Duplicate venue code",IF(OR(B125="",C125="",D125="",E125="",G125="",H125="",I125="",J125=""),"Missing details",IF(OR(LEN(A125)&gt;40,LEN(B125)&gt;120,LEN(C125)&gt;240,LEN(D125)&gt;80,LEN(E125)&gt;80),"Text too long",IF(OR(NOT(ISNUMBER(G125)),NOT(ISNUMBER(H125))),"Pin must be two numbers",IF(OR(G125&lt;4,G125&gt;21.5,H125&lt;116,H125&gt;127),"Pin outside the Philippines",IF(J125="No","No permission: do not import",IF(J125&lt;&gt;"Yes","Waiting for permission",IF(AND(I125&lt;&gt;"Owner or manager",I125&lt;&gt;"Site visit"),"Confirm the pin",IF(K125=0,"Add its courts",IF(K125&gt;40,"Over 40 courts",IF(COUNTIFS(Courts!$A$2:$A$1001,A125,Courts!$G$2:$G$1001,"&lt;&gt;OK")&gt;0,"Fix its courts",IF(L125=0,"Needs an active court","Ready")))))))))))))</f>
      </c>
    </row>
    <row r="126">
      <c r="K126" s="4">
        <f>IF(A126="","",COUNTIF(Courts!$A$2:$A$1001,A126))</f>
      </c>
      <c r="L126" s="4">
        <f>IF(A126="","",COUNTIFS(Courts!$A$2:$A$1001,A126,Courts!$F$2:$F$1001,"Yes"))</f>
      </c>
      <c r="M126" s="4">
        <f>IF(A126="","",IF(COUNTIF($A$2:$A$201,A126)&gt;1,"Duplicate venue code",IF(OR(B126="",C126="",D126="",E126="",G126="",H126="",I126="",J126=""),"Missing details",IF(OR(LEN(A126)&gt;40,LEN(B126)&gt;120,LEN(C126)&gt;240,LEN(D126)&gt;80,LEN(E126)&gt;80),"Text too long",IF(OR(NOT(ISNUMBER(G126)),NOT(ISNUMBER(H126))),"Pin must be two numbers",IF(OR(G126&lt;4,G126&gt;21.5,H126&lt;116,H126&gt;127),"Pin outside the Philippines",IF(J126="No","No permission: do not import",IF(J126&lt;&gt;"Yes","Waiting for permission",IF(AND(I126&lt;&gt;"Owner or manager",I126&lt;&gt;"Site visit"),"Confirm the pin",IF(K126=0,"Add its courts",IF(K126&gt;40,"Over 40 courts",IF(COUNTIFS(Courts!$A$2:$A$1001,A126,Courts!$G$2:$G$1001,"&lt;&gt;OK")&gt;0,"Fix its courts",IF(L126=0,"Needs an active court","Ready")))))))))))))</f>
      </c>
    </row>
    <row r="127">
      <c r="K127" s="4">
        <f>IF(A127="","",COUNTIF(Courts!$A$2:$A$1001,A127))</f>
      </c>
      <c r="L127" s="4">
        <f>IF(A127="","",COUNTIFS(Courts!$A$2:$A$1001,A127,Courts!$F$2:$F$1001,"Yes"))</f>
      </c>
      <c r="M127" s="4">
        <f>IF(A127="","",IF(COUNTIF($A$2:$A$201,A127)&gt;1,"Duplicate venue code",IF(OR(B127="",C127="",D127="",E127="",G127="",H127="",I127="",J127=""),"Missing details",IF(OR(LEN(A127)&gt;40,LEN(B127)&gt;120,LEN(C127)&gt;240,LEN(D127)&gt;80,LEN(E127)&gt;80),"Text too long",IF(OR(NOT(ISNUMBER(G127)),NOT(ISNUMBER(H127))),"Pin must be two numbers",IF(OR(G127&lt;4,G127&gt;21.5,H127&lt;116,H127&gt;127),"Pin outside the Philippines",IF(J127="No","No permission: do not import",IF(J127&lt;&gt;"Yes","Waiting for permission",IF(AND(I127&lt;&gt;"Owner or manager",I127&lt;&gt;"Site visit"),"Confirm the pin",IF(K127=0,"Add its courts",IF(K127&gt;40,"Over 40 courts",IF(COUNTIFS(Courts!$A$2:$A$1001,A127,Courts!$G$2:$G$1001,"&lt;&gt;OK")&gt;0,"Fix its courts",IF(L127=0,"Needs an active court","Ready")))))))))))))</f>
      </c>
    </row>
    <row r="128">
      <c r="K128" s="4">
        <f>IF(A128="","",COUNTIF(Courts!$A$2:$A$1001,A128))</f>
      </c>
      <c r="L128" s="4">
        <f>IF(A128="","",COUNTIFS(Courts!$A$2:$A$1001,A128,Courts!$F$2:$F$1001,"Yes"))</f>
      </c>
      <c r="M128" s="4">
        <f>IF(A128="","",IF(COUNTIF($A$2:$A$201,A128)&gt;1,"Duplicate venue code",IF(OR(B128="",C128="",D128="",E128="",G128="",H128="",I128="",J128=""),"Missing details",IF(OR(LEN(A128)&gt;40,LEN(B128)&gt;120,LEN(C128)&gt;240,LEN(D128)&gt;80,LEN(E128)&gt;80),"Text too long",IF(OR(NOT(ISNUMBER(G128)),NOT(ISNUMBER(H128))),"Pin must be two numbers",IF(OR(G128&lt;4,G128&gt;21.5,H128&lt;116,H128&gt;127),"Pin outside the Philippines",IF(J128="No","No permission: do not import",IF(J128&lt;&gt;"Yes","Waiting for permission",IF(AND(I128&lt;&gt;"Owner or manager",I128&lt;&gt;"Site visit"),"Confirm the pin",IF(K128=0,"Add its courts",IF(K128&gt;40,"Over 40 courts",IF(COUNTIFS(Courts!$A$2:$A$1001,A128,Courts!$G$2:$G$1001,"&lt;&gt;OK")&gt;0,"Fix its courts",IF(L128=0,"Needs an active court","Ready")))))))))))))</f>
      </c>
    </row>
    <row r="129">
      <c r="K129" s="4">
        <f>IF(A129="","",COUNTIF(Courts!$A$2:$A$1001,A129))</f>
      </c>
      <c r="L129" s="4">
        <f>IF(A129="","",COUNTIFS(Courts!$A$2:$A$1001,A129,Courts!$F$2:$F$1001,"Yes"))</f>
      </c>
      <c r="M129" s="4">
        <f>IF(A129="","",IF(COUNTIF($A$2:$A$201,A129)&gt;1,"Duplicate venue code",IF(OR(B129="",C129="",D129="",E129="",G129="",H129="",I129="",J129=""),"Missing details",IF(OR(LEN(A129)&gt;40,LEN(B129)&gt;120,LEN(C129)&gt;240,LEN(D129)&gt;80,LEN(E129)&gt;80),"Text too long",IF(OR(NOT(ISNUMBER(G129)),NOT(ISNUMBER(H129))),"Pin must be two numbers",IF(OR(G129&lt;4,G129&gt;21.5,H129&lt;116,H129&gt;127),"Pin outside the Philippines",IF(J129="No","No permission: do not import",IF(J129&lt;&gt;"Yes","Waiting for permission",IF(AND(I129&lt;&gt;"Owner or manager",I129&lt;&gt;"Site visit"),"Confirm the pin",IF(K129=0,"Add its courts",IF(K129&gt;40,"Over 40 courts",IF(COUNTIFS(Courts!$A$2:$A$1001,A129,Courts!$G$2:$G$1001,"&lt;&gt;OK")&gt;0,"Fix its courts",IF(L129=0,"Needs an active court","Ready")))))))))))))</f>
      </c>
    </row>
    <row r="130">
      <c r="K130" s="4">
        <f>IF(A130="","",COUNTIF(Courts!$A$2:$A$1001,A130))</f>
      </c>
      <c r="L130" s="4">
        <f>IF(A130="","",COUNTIFS(Courts!$A$2:$A$1001,A130,Courts!$F$2:$F$1001,"Yes"))</f>
      </c>
      <c r="M130" s="4">
        <f>IF(A130="","",IF(COUNTIF($A$2:$A$201,A130)&gt;1,"Duplicate venue code",IF(OR(B130="",C130="",D130="",E130="",G130="",H130="",I130="",J130=""),"Missing details",IF(OR(LEN(A130)&gt;40,LEN(B130)&gt;120,LEN(C130)&gt;240,LEN(D130)&gt;80,LEN(E130)&gt;80),"Text too long",IF(OR(NOT(ISNUMBER(G130)),NOT(ISNUMBER(H130))),"Pin must be two numbers",IF(OR(G130&lt;4,G130&gt;21.5,H130&lt;116,H130&gt;127),"Pin outside the Philippines",IF(J130="No","No permission: do not import",IF(J130&lt;&gt;"Yes","Waiting for permission",IF(AND(I130&lt;&gt;"Owner or manager",I130&lt;&gt;"Site visit"),"Confirm the pin",IF(K130=0,"Add its courts",IF(K130&gt;40,"Over 40 courts",IF(COUNTIFS(Courts!$A$2:$A$1001,A130,Courts!$G$2:$G$1001,"&lt;&gt;OK")&gt;0,"Fix its courts",IF(L130=0,"Needs an active court","Ready")))))))))))))</f>
      </c>
    </row>
    <row r="131">
      <c r="K131" s="4">
        <f>IF(A131="","",COUNTIF(Courts!$A$2:$A$1001,A131))</f>
      </c>
      <c r="L131" s="4">
        <f>IF(A131="","",COUNTIFS(Courts!$A$2:$A$1001,A131,Courts!$F$2:$F$1001,"Yes"))</f>
      </c>
      <c r="M131" s="4">
        <f>IF(A131="","",IF(COUNTIF($A$2:$A$201,A131)&gt;1,"Duplicate venue code",IF(OR(B131="",C131="",D131="",E131="",G131="",H131="",I131="",J131=""),"Missing details",IF(OR(LEN(A131)&gt;40,LEN(B131)&gt;120,LEN(C131)&gt;240,LEN(D131)&gt;80,LEN(E131)&gt;80),"Text too long",IF(OR(NOT(ISNUMBER(G131)),NOT(ISNUMBER(H131))),"Pin must be two numbers",IF(OR(G131&lt;4,G131&gt;21.5,H131&lt;116,H131&gt;127),"Pin outside the Philippines",IF(J131="No","No permission: do not import",IF(J131&lt;&gt;"Yes","Waiting for permission",IF(AND(I131&lt;&gt;"Owner or manager",I131&lt;&gt;"Site visit"),"Confirm the pin",IF(K131=0,"Add its courts",IF(K131&gt;40,"Over 40 courts",IF(COUNTIFS(Courts!$A$2:$A$1001,A131,Courts!$G$2:$G$1001,"&lt;&gt;OK")&gt;0,"Fix its courts",IF(L131=0,"Needs an active court","Ready")))))))))))))</f>
      </c>
    </row>
    <row r="132">
      <c r="K132" s="4">
        <f>IF(A132="","",COUNTIF(Courts!$A$2:$A$1001,A132))</f>
      </c>
      <c r="L132" s="4">
        <f>IF(A132="","",COUNTIFS(Courts!$A$2:$A$1001,A132,Courts!$F$2:$F$1001,"Yes"))</f>
      </c>
      <c r="M132" s="4">
        <f>IF(A132="","",IF(COUNTIF($A$2:$A$201,A132)&gt;1,"Duplicate venue code",IF(OR(B132="",C132="",D132="",E132="",G132="",H132="",I132="",J132=""),"Missing details",IF(OR(LEN(A132)&gt;40,LEN(B132)&gt;120,LEN(C132)&gt;240,LEN(D132)&gt;80,LEN(E132)&gt;80),"Text too long",IF(OR(NOT(ISNUMBER(G132)),NOT(ISNUMBER(H132))),"Pin must be two numbers",IF(OR(G132&lt;4,G132&gt;21.5,H132&lt;116,H132&gt;127),"Pin outside the Philippines",IF(J132="No","No permission: do not import",IF(J132&lt;&gt;"Yes","Waiting for permission",IF(AND(I132&lt;&gt;"Owner or manager",I132&lt;&gt;"Site visit"),"Confirm the pin",IF(K132=0,"Add its courts",IF(K132&gt;40,"Over 40 courts",IF(COUNTIFS(Courts!$A$2:$A$1001,A132,Courts!$G$2:$G$1001,"&lt;&gt;OK")&gt;0,"Fix its courts",IF(L132=0,"Needs an active court","Ready")))))))))))))</f>
      </c>
    </row>
    <row r="133">
      <c r="K133" s="4">
        <f>IF(A133="","",COUNTIF(Courts!$A$2:$A$1001,A133))</f>
      </c>
      <c r="L133" s="4">
        <f>IF(A133="","",COUNTIFS(Courts!$A$2:$A$1001,A133,Courts!$F$2:$F$1001,"Yes"))</f>
      </c>
      <c r="M133" s="4">
        <f>IF(A133="","",IF(COUNTIF($A$2:$A$201,A133)&gt;1,"Duplicate venue code",IF(OR(B133="",C133="",D133="",E133="",G133="",H133="",I133="",J133=""),"Missing details",IF(OR(LEN(A133)&gt;40,LEN(B133)&gt;120,LEN(C133)&gt;240,LEN(D133)&gt;80,LEN(E133)&gt;80),"Text too long",IF(OR(NOT(ISNUMBER(G133)),NOT(ISNUMBER(H133))),"Pin must be two numbers",IF(OR(G133&lt;4,G133&gt;21.5,H133&lt;116,H133&gt;127),"Pin outside the Philippines",IF(J133="No","No permission: do not import",IF(J133&lt;&gt;"Yes","Waiting for permission",IF(AND(I133&lt;&gt;"Owner or manager",I133&lt;&gt;"Site visit"),"Confirm the pin",IF(K133=0,"Add its courts",IF(K133&gt;40,"Over 40 courts",IF(COUNTIFS(Courts!$A$2:$A$1001,A133,Courts!$G$2:$G$1001,"&lt;&gt;OK")&gt;0,"Fix its courts",IF(L133=0,"Needs an active court","Ready")))))))))))))</f>
      </c>
    </row>
    <row r="134">
      <c r="K134" s="4">
        <f>IF(A134="","",COUNTIF(Courts!$A$2:$A$1001,A134))</f>
      </c>
      <c r="L134" s="4">
        <f>IF(A134="","",COUNTIFS(Courts!$A$2:$A$1001,A134,Courts!$F$2:$F$1001,"Yes"))</f>
      </c>
      <c r="M134" s="4">
        <f>IF(A134="","",IF(COUNTIF($A$2:$A$201,A134)&gt;1,"Duplicate venue code",IF(OR(B134="",C134="",D134="",E134="",G134="",H134="",I134="",J134=""),"Missing details",IF(OR(LEN(A134)&gt;40,LEN(B134)&gt;120,LEN(C134)&gt;240,LEN(D134)&gt;80,LEN(E134)&gt;80),"Text too long",IF(OR(NOT(ISNUMBER(G134)),NOT(ISNUMBER(H134))),"Pin must be two numbers",IF(OR(G134&lt;4,G134&gt;21.5,H134&lt;116,H134&gt;127),"Pin outside the Philippines",IF(J134="No","No permission: do not import",IF(J134&lt;&gt;"Yes","Waiting for permission",IF(AND(I134&lt;&gt;"Owner or manager",I134&lt;&gt;"Site visit"),"Confirm the pin",IF(K134=0,"Add its courts",IF(K134&gt;40,"Over 40 courts",IF(COUNTIFS(Courts!$A$2:$A$1001,A134,Courts!$G$2:$G$1001,"&lt;&gt;OK")&gt;0,"Fix its courts",IF(L134=0,"Needs an active court","Ready")))))))))))))</f>
      </c>
    </row>
    <row r="135">
      <c r="K135" s="4">
        <f>IF(A135="","",COUNTIF(Courts!$A$2:$A$1001,A135))</f>
      </c>
      <c r="L135" s="4">
        <f>IF(A135="","",COUNTIFS(Courts!$A$2:$A$1001,A135,Courts!$F$2:$F$1001,"Yes"))</f>
      </c>
      <c r="M135" s="4">
        <f>IF(A135="","",IF(COUNTIF($A$2:$A$201,A135)&gt;1,"Duplicate venue code",IF(OR(B135="",C135="",D135="",E135="",G135="",H135="",I135="",J135=""),"Missing details",IF(OR(LEN(A135)&gt;40,LEN(B135)&gt;120,LEN(C135)&gt;240,LEN(D135)&gt;80,LEN(E135)&gt;80),"Text too long",IF(OR(NOT(ISNUMBER(G135)),NOT(ISNUMBER(H135))),"Pin must be two numbers",IF(OR(G135&lt;4,G135&gt;21.5,H135&lt;116,H135&gt;127),"Pin outside the Philippines",IF(J135="No","No permission: do not import",IF(J135&lt;&gt;"Yes","Waiting for permission",IF(AND(I135&lt;&gt;"Owner or manager",I135&lt;&gt;"Site visit"),"Confirm the pin",IF(K135=0,"Add its courts",IF(K135&gt;40,"Over 40 courts",IF(COUNTIFS(Courts!$A$2:$A$1001,A135,Courts!$G$2:$G$1001,"&lt;&gt;OK")&gt;0,"Fix its courts",IF(L135=0,"Needs an active court","Ready")))))))))))))</f>
      </c>
    </row>
    <row r="136">
      <c r="K136" s="4">
        <f>IF(A136="","",COUNTIF(Courts!$A$2:$A$1001,A136))</f>
      </c>
      <c r="L136" s="4">
        <f>IF(A136="","",COUNTIFS(Courts!$A$2:$A$1001,A136,Courts!$F$2:$F$1001,"Yes"))</f>
      </c>
      <c r="M136" s="4">
        <f>IF(A136="","",IF(COUNTIF($A$2:$A$201,A136)&gt;1,"Duplicate venue code",IF(OR(B136="",C136="",D136="",E136="",G136="",H136="",I136="",J136=""),"Missing details",IF(OR(LEN(A136)&gt;40,LEN(B136)&gt;120,LEN(C136)&gt;240,LEN(D136)&gt;80,LEN(E136)&gt;80),"Text too long",IF(OR(NOT(ISNUMBER(G136)),NOT(ISNUMBER(H136))),"Pin must be two numbers",IF(OR(G136&lt;4,G136&gt;21.5,H136&lt;116,H136&gt;127),"Pin outside the Philippines",IF(J136="No","No permission: do not import",IF(J136&lt;&gt;"Yes","Waiting for permission",IF(AND(I136&lt;&gt;"Owner or manager",I136&lt;&gt;"Site visit"),"Confirm the pin",IF(K136=0,"Add its courts",IF(K136&gt;40,"Over 40 courts",IF(COUNTIFS(Courts!$A$2:$A$1001,A136,Courts!$G$2:$G$1001,"&lt;&gt;OK")&gt;0,"Fix its courts",IF(L136=0,"Needs an active court","Ready")))))))))))))</f>
      </c>
    </row>
    <row r="137">
      <c r="K137" s="4">
        <f>IF(A137="","",COUNTIF(Courts!$A$2:$A$1001,A137))</f>
      </c>
      <c r="L137" s="4">
        <f>IF(A137="","",COUNTIFS(Courts!$A$2:$A$1001,A137,Courts!$F$2:$F$1001,"Yes"))</f>
      </c>
      <c r="M137" s="4">
        <f>IF(A137="","",IF(COUNTIF($A$2:$A$201,A137)&gt;1,"Duplicate venue code",IF(OR(B137="",C137="",D137="",E137="",G137="",H137="",I137="",J137=""),"Missing details",IF(OR(LEN(A137)&gt;40,LEN(B137)&gt;120,LEN(C137)&gt;240,LEN(D137)&gt;80,LEN(E137)&gt;80),"Text too long",IF(OR(NOT(ISNUMBER(G137)),NOT(ISNUMBER(H137))),"Pin must be two numbers",IF(OR(G137&lt;4,G137&gt;21.5,H137&lt;116,H137&gt;127),"Pin outside the Philippines",IF(J137="No","No permission: do not import",IF(J137&lt;&gt;"Yes","Waiting for permission",IF(AND(I137&lt;&gt;"Owner or manager",I137&lt;&gt;"Site visit"),"Confirm the pin",IF(K137=0,"Add its courts",IF(K137&gt;40,"Over 40 courts",IF(COUNTIFS(Courts!$A$2:$A$1001,A137,Courts!$G$2:$G$1001,"&lt;&gt;OK")&gt;0,"Fix its courts",IF(L137=0,"Needs an active court","Ready")))))))))))))</f>
      </c>
    </row>
    <row r="138">
      <c r="K138" s="4">
        <f>IF(A138="","",COUNTIF(Courts!$A$2:$A$1001,A138))</f>
      </c>
      <c r="L138" s="4">
        <f>IF(A138="","",COUNTIFS(Courts!$A$2:$A$1001,A138,Courts!$F$2:$F$1001,"Yes"))</f>
      </c>
      <c r="M138" s="4">
        <f>IF(A138="","",IF(COUNTIF($A$2:$A$201,A138)&gt;1,"Duplicate venue code",IF(OR(B138="",C138="",D138="",E138="",G138="",H138="",I138="",J138=""),"Missing details",IF(OR(LEN(A138)&gt;40,LEN(B138)&gt;120,LEN(C138)&gt;240,LEN(D138)&gt;80,LEN(E138)&gt;80),"Text too long",IF(OR(NOT(ISNUMBER(G138)),NOT(ISNUMBER(H138))),"Pin must be two numbers",IF(OR(G138&lt;4,G138&gt;21.5,H138&lt;116,H138&gt;127),"Pin outside the Philippines",IF(J138="No","No permission: do not import",IF(J138&lt;&gt;"Yes","Waiting for permission",IF(AND(I138&lt;&gt;"Owner or manager",I138&lt;&gt;"Site visit"),"Confirm the pin",IF(K138=0,"Add its courts",IF(K138&gt;40,"Over 40 courts",IF(COUNTIFS(Courts!$A$2:$A$1001,A138,Courts!$G$2:$G$1001,"&lt;&gt;OK")&gt;0,"Fix its courts",IF(L138=0,"Needs an active court","Ready")))))))))))))</f>
      </c>
    </row>
    <row r="139">
      <c r="K139" s="4">
        <f>IF(A139="","",COUNTIF(Courts!$A$2:$A$1001,A139))</f>
      </c>
      <c r="L139" s="4">
        <f>IF(A139="","",COUNTIFS(Courts!$A$2:$A$1001,A139,Courts!$F$2:$F$1001,"Yes"))</f>
      </c>
      <c r="M139" s="4">
        <f>IF(A139="","",IF(COUNTIF($A$2:$A$201,A139)&gt;1,"Duplicate venue code",IF(OR(B139="",C139="",D139="",E139="",G139="",H139="",I139="",J139=""),"Missing details",IF(OR(LEN(A139)&gt;40,LEN(B139)&gt;120,LEN(C139)&gt;240,LEN(D139)&gt;80,LEN(E139)&gt;80),"Text too long",IF(OR(NOT(ISNUMBER(G139)),NOT(ISNUMBER(H139))),"Pin must be two numbers",IF(OR(G139&lt;4,G139&gt;21.5,H139&lt;116,H139&gt;127),"Pin outside the Philippines",IF(J139="No","No permission: do not import",IF(J139&lt;&gt;"Yes","Waiting for permission",IF(AND(I139&lt;&gt;"Owner or manager",I139&lt;&gt;"Site visit"),"Confirm the pin",IF(K139=0,"Add its courts",IF(K139&gt;40,"Over 40 courts",IF(COUNTIFS(Courts!$A$2:$A$1001,A139,Courts!$G$2:$G$1001,"&lt;&gt;OK")&gt;0,"Fix its courts",IF(L139=0,"Needs an active court","Ready")))))))))))))</f>
      </c>
    </row>
    <row r="140">
      <c r="K140" s="4">
        <f>IF(A140="","",COUNTIF(Courts!$A$2:$A$1001,A140))</f>
      </c>
      <c r="L140" s="4">
        <f>IF(A140="","",COUNTIFS(Courts!$A$2:$A$1001,A140,Courts!$F$2:$F$1001,"Yes"))</f>
      </c>
      <c r="M140" s="4">
        <f>IF(A140="","",IF(COUNTIF($A$2:$A$201,A140)&gt;1,"Duplicate venue code",IF(OR(B140="",C140="",D140="",E140="",G140="",H140="",I140="",J140=""),"Missing details",IF(OR(LEN(A140)&gt;40,LEN(B140)&gt;120,LEN(C140)&gt;240,LEN(D140)&gt;80,LEN(E140)&gt;80),"Text too long",IF(OR(NOT(ISNUMBER(G140)),NOT(ISNUMBER(H140))),"Pin must be two numbers",IF(OR(G140&lt;4,G140&gt;21.5,H140&lt;116,H140&gt;127),"Pin outside the Philippines",IF(J140="No","No permission: do not import",IF(J140&lt;&gt;"Yes","Waiting for permission",IF(AND(I140&lt;&gt;"Owner or manager",I140&lt;&gt;"Site visit"),"Confirm the pin",IF(K140=0,"Add its courts",IF(K140&gt;40,"Over 40 courts",IF(COUNTIFS(Courts!$A$2:$A$1001,A140,Courts!$G$2:$G$1001,"&lt;&gt;OK")&gt;0,"Fix its courts",IF(L140=0,"Needs an active court","Ready")))))))))))))</f>
      </c>
    </row>
    <row r="141">
      <c r="K141" s="4">
        <f>IF(A141="","",COUNTIF(Courts!$A$2:$A$1001,A141))</f>
      </c>
      <c r="L141" s="4">
        <f>IF(A141="","",COUNTIFS(Courts!$A$2:$A$1001,A141,Courts!$F$2:$F$1001,"Yes"))</f>
      </c>
      <c r="M141" s="4">
        <f>IF(A141="","",IF(COUNTIF($A$2:$A$201,A141)&gt;1,"Duplicate venue code",IF(OR(B141="",C141="",D141="",E141="",G141="",H141="",I141="",J141=""),"Missing details",IF(OR(LEN(A141)&gt;40,LEN(B141)&gt;120,LEN(C141)&gt;240,LEN(D141)&gt;80,LEN(E141)&gt;80),"Text too long",IF(OR(NOT(ISNUMBER(G141)),NOT(ISNUMBER(H141))),"Pin must be two numbers",IF(OR(G141&lt;4,G141&gt;21.5,H141&lt;116,H141&gt;127),"Pin outside the Philippines",IF(J141="No","No permission: do not import",IF(J141&lt;&gt;"Yes","Waiting for permission",IF(AND(I141&lt;&gt;"Owner or manager",I141&lt;&gt;"Site visit"),"Confirm the pin",IF(K141=0,"Add its courts",IF(K141&gt;40,"Over 40 courts",IF(COUNTIFS(Courts!$A$2:$A$1001,A141,Courts!$G$2:$G$1001,"&lt;&gt;OK")&gt;0,"Fix its courts",IF(L141=0,"Needs an active court","Ready")))))))))))))</f>
      </c>
    </row>
    <row r="142">
      <c r="K142" s="4">
        <f>IF(A142="","",COUNTIF(Courts!$A$2:$A$1001,A142))</f>
      </c>
      <c r="L142" s="4">
        <f>IF(A142="","",COUNTIFS(Courts!$A$2:$A$1001,A142,Courts!$F$2:$F$1001,"Yes"))</f>
      </c>
      <c r="M142" s="4">
        <f>IF(A142="","",IF(COUNTIF($A$2:$A$201,A142)&gt;1,"Duplicate venue code",IF(OR(B142="",C142="",D142="",E142="",G142="",H142="",I142="",J142=""),"Missing details",IF(OR(LEN(A142)&gt;40,LEN(B142)&gt;120,LEN(C142)&gt;240,LEN(D142)&gt;80,LEN(E142)&gt;80),"Text too long",IF(OR(NOT(ISNUMBER(G142)),NOT(ISNUMBER(H142))),"Pin must be two numbers",IF(OR(G142&lt;4,G142&gt;21.5,H142&lt;116,H142&gt;127),"Pin outside the Philippines",IF(J142="No","No permission: do not import",IF(J142&lt;&gt;"Yes","Waiting for permission",IF(AND(I142&lt;&gt;"Owner or manager",I142&lt;&gt;"Site visit"),"Confirm the pin",IF(K142=0,"Add its courts",IF(K142&gt;40,"Over 40 courts",IF(COUNTIFS(Courts!$A$2:$A$1001,A142,Courts!$G$2:$G$1001,"&lt;&gt;OK")&gt;0,"Fix its courts",IF(L142=0,"Needs an active court","Ready")))))))))))))</f>
      </c>
    </row>
    <row r="143">
      <c r="K143" s="4">
        <f>IF(A143="","",COUNTIF(Courts!$A$2:$A$1001,A143))</f>
      </c>
      <c r="L143" s="4">
        <f>IF(A143="","",COUNTIFS(Courts!$A$2:$A$1001,A143,Courts!$F$2:$F$1001,"Yes"))</f>
      </c>
      <c r="M143" s="4">
        <f>IF(A143="","",IF(COUNTIF($A$2:$A$201,A143)&gt;1,"Duplicate venue code",IF(OR(B143="",C143="",D143="",E143="",G143="",H143="",I143="",J143=""),"Missing details",IF(OR(LEN(A143)&gt;40,LEN(B143)&gt;120,LEN(C143)&gt;240,LEN(D143)&gt;80,LEN(E143)&gt;80),"Text too long",IF(OR(NOT(ISNUMBER(G143)),NOT(ISNUMBER(H143))),"Pin must be two numbers",IF(OR(G143&lt;4,G143&gt;21.5,H143&lt;116,H143&gt;127),"Pin outside the Philippines",IF(J143="No","No permission: do not import",IF(J143&lt;&gt;"Yes","Waiting for permission",IF(AND(I143&lt;&gt;"Owner or manager",I143&lt;&gt;"Site visit"),"Confirm the pin",IF(K143=0,"Add its courts",IF(K143&gt;40,"Over 40 courts",IF(COUNTIFS(Courts!$A$2:$A$1001,A143,Courts!$G$2:$G$1001,"&lt;&gt;OK")&gt;0,"Fix its courts",IF(L143=0,"Needs an active court","Ready")))))))))))))</f>
      </c>
    </row>
    <row r="144">
      <c r="K144" s="4">
        <f>IF(A144="","",COUNTIF(Courts!$A$2:$A$1001,A144))</f>
      </c>
      <c r="L144" s="4">
        <f>IF(A144="","",COUNTIFS(Courts!$A$2:$A$1001,A144,Courts!$F$2:$F$1001,"Yes"))</f>
      </c>
      <c r="M144" s="4">
        <f>IF(A144="","",IF(COUNTIF($A$2:$A$201,A144)&gt;1,"Duplicate venue code",IF(OR(B144="",C144="",D144="",E144="",G144="",H144="",I144="",J144=""),"Missing details",IF(OR(LEN(A144)&gt;40,LEN(B144)&gt;120,LEN(C144)&gt;240,LEN(D144)&gt;80,LEN(E144)&gt;80),"Text too long",IF(OR(NOT(ISNUMBER(G144)),NOT(ISNUMBER(H144))),"Pin must be two numbers",IF(OR(G144&lt;4,G144&gt;21.5,H144&lt;116,H144&gt;127),"Pin outside the Philippines",IF(J144="No","No permission: do not import",IF(J144&lt;&gt;"Yes","Waiting for permission",IF(AND(I144&lt;&gt;"Owner or manager",I144&lt;&gt;"Site visit"),"Confirm the pin",IF(K144=0,"Add its courts",IF(K144&gt;40,"Over 40 courts",IF(COUNTIFS(Courts!$A$2:$A$1001,A144,Courts!$G$2:$G$1001,"&lt;&gt;OK")&gt;0,"Fix its courts",IF(L144=0,"Needs an active court","Ready")))))))))))))</f>
      </c>
    </row>
    <row r="145">
      <c r="K145" s="4">
        <f>IF(A145="","",COUNTIF(Courts!$A$2:$A$1001,A145))</f>
      </c>
      <c r="L145" s="4">
        <f>IF(A145="","",COUNTIFS(Courts!$A$2:$A$1001,A145,Courts!$F$2:$F$1001,"Yes"))</f>
      </c>
      <c r="M145" s="4">
        <f>IF(A145="","",IF(COUNTIF($A$2:$A$201,A145)&gt;1,"Duplicate venue code",IF(OR(B145="",C145="",D145="",E145="",G145="",H145="",I145="",J145=""),"Missing details",IF(OR(LEN(A145)&gt;40,LEN(B145)&gt;120,LEN(C145)&gt;240,LEN(D145)&gt;80,LEN(E145)&gt;80),"Text too long",IF(OR(NOT(ISNUMBER(G145)),NOT(ISNUMBER(H145))),"Pin must be two numbers",IF(OR(G145&lt;4,G145&gt;21.5,H145&lt;116,H145&gt;127),"Pin outside the Philippines",IF(J145="No","No permission: do not import",IF(J145&lt;&gt;"Yes","Waiting for permission",IF(AND(I145&lt;&gt;"Owner or manager",I145&lt;&gt;"Site visit"),"Confirm the pin",IF(K145=0,"Add its courts",IF(K145&gt;40,"Over 40 courts",IF(COUNTIFS(Courts!$A$2:$A$1001,A145,Courts!$G$2:$G$1001,"&lt;&gt;OK")&gt;0,"Fix its courts",IF(L145=0,"Needs an active court","Ready")))))))))))))</f>
      </c>
    </row>
    <row r="146">
      <c r="K146" s="4">
        <f>IF(A146="","",COUNTIF(Courts!$A$2:$A$1001,A146))</f>
      </c>
      <c r="L146" s="4">
        <f>IF(A146="","",COUNTIFS(Courts!$A$2:$A$1001,A146,Courts!$F$2:$F$1001,"Yes"))</f>
      </c>
      <c r="M146" s="4">
        <f>IF(A146="","",IF(COUNTIF($A$2:$A$201,A146)&gt;1,"Duplicate venue code",IF(OR(B146="",C146="",D146="",E146="",G146="",H146="",I146="",J146=""),"Missing details",IF(OR(LEN(A146)&gt;40,LEN(B146)&gt;120,LEN(C146)&gt;240,LEN(D146)&gt;80,LEN(E146)&gt;80),"Text too long",IF(OR(NOT(ISNUMBER(G146)),NOT(ISNUMBER(H146))),"Pin must be two numbers",IF(OR(G146&lt;4,G146&gt;21.5,H146&lt;116,H146&gt;127),"Pin outside the Philippines",IF(J146="No","No permission: do not import",IF(J146&lt;&gt;"Yes","Waiting for permission",IF(AND(I146&lt;&gt;"Owner or manager",I146&lt;&gt;"Site visit"),"Confirm the pin",IF(K146=0,"Add its courts",IF(K146&gt;40,"Over 40 courts",IF(COUNTIFS(Courts!$A$2:$A$1001,A146,Courts!$G$2:$G$1001,"&lt;&gt;OK")&gt;0,"Fix its courts",IF(L146=0,"Needs an active court","Ready")))))))))))))</f>
      </c>
    </row>
    <row r="147">
      <c r="K147" s="4">
        <f>IF(A147="","",COUNTIF(Courts!$A$2:$A$1001,A147))</f>
      </c>
      <c r="L147" s="4">
        <f>IF(A147="","",COUNTIFS(Courts!$A$2:$A$1001,A147,Courts!$F$2:$F$1001,"Yes"))</f>
      </c>
      <c r="M147" s="4">
        <f>IF(A147="","",IF(COUNTIF($A$2:$A$201,A147)&gt;1,"Duplicate venue code",IF(OR(B147="",C147="",D147="",E147="",G147="",H147="",I147="",J147=""),"Missing details",IF(OR(LEN(A147)&gt;40,LEN(B147)&gt;120,LEN(C147)&gt;240,LEN(D147)&gt;80,LEN(E147)&gt;80),"Text too long",IF(OR(NOT(ISNUMBER(G147)),NOT(ISNUMBER(H147))),"Pin must be two numbers",IF(OR(G147&lt;4,G147&gt;21.5,H147&lt;116,H147&gt;127),"Pin outside the Philippines",IF(J147="No","No permission: do not import",IF(J147&lt;&gt;"Yes","Waiting for permission",IF(AND(I147&lt;&gt;"Owner or manager",I147&lt;&gt;"Site visit"),"Confirm the pin",IF(K147=0,"Add its courts",IF(K147&gt;40,"Over 40 courts",IF(COUNTIFS(Courts!$A$2:$A$1001,A147,Courts!$G$2:$G$1001,"&lt;&gt;OK")&gt;0,"Fix its courts",IF(L147=0,"Needs an active court","Ready")))))))))))))</f>
      </c>
    </row>
    <row r="148">
      <c r="K148" s="4">
        <f>IF(A148="","",COUNTIF(Courts!$A$2:$A$1001,A148))</f>
      </c>
      <c r="L148" s="4">
        <f>IF(A148="","",COUNTIFS(Courts!$A$2:$A$1001,A148,Courts!$F$2:$F$1001,"Yes"))</f>
      </c>
      <c r="M148" s="4">
        <f>IF(A148="","",IF(COUNTIF($A$2:$A$201,A148)&gt;1,"Duplicate venue code",IF(OR(B148="",C148="",D148="",E148="",G148="",H148="",I148="",J148=""),"Missing details",IF(OR(LEN(A148)&gt;40,LEN(B148)&gt;120,LEN(C148)&gt;240,LEN(D148)&gt;80,LEN(E148)&gt;80),"Text too long",IF(OR(NOT(ISNUMBER(G148)),NOT(ISNUMBER(H148))),"Pin must be two numbers",IF(OR(G148&lt;4,G148&gt;21.5,H148&lt;116,H148&gt;127),"Pin outside the Philippines",IF(J148="No","No permission: do not import",IF(J148&lt;&gt;"Yes","Waiting for permission",IF(AND(I148&lt;&gt;"Owner or manager",I148&lt;&gt;"Site visit"),"Confirm the pin",IF(K148=0,"Add its courts",IF(K148&gt;40,"Over 40 courts",IF(COUNTIFS(Courts!$A$2:$A$1001,A148,Courts!$G$2:$G$1001,"&lt;&gt;OK")&gt;0,"Fix its courts",IF(L148=0,"Needs an active court","Ready")))))))))))))</f>
      </c>
    </row>
    <row r="149">
      <c r="K149" s="4">
        <f>IF(A149="","",COUNTIF(Courts!$A$2:$A$1001,A149))</f>
      </c>
      <c r="L149" s="4">
        <f>IF(A149="","",COUNTIFS(Courts!$A$2:$A$1001,A149,Courts!$F$2:$F$1001,"Yes"))</f>
      </c>
      <c r="M149" s="4">
        <f>IF(A149="","",IF(COUNTIF($A$2:$A$201,A149)&gt;1,"Duplicate venue code",IF(OR(B149="",C149="",D149="",E149="",G149="",H149="",I149="",J149=""),"Missing details",IF(OR(LEN(A149)&gt;40,LEN(B149)&gt;120,LEN(C149)&gt;240,LEN(D149)&gt;80,LEN(E149)&gt;80),"Text too long",IF(OR(NOT(ISNUMBER(G149)),NOT(ISNUMBER(H149))),"Pin must be two numbers",IF(OR(G149&lt;4,G149&gt;21.5,H149&lt;116,H149&gt;127),"Pin outside the Philippines",IF(J149="No","No permission: do not import",IF(J149&lt;&gt;"Yes","Waiting for permission",IF(AND(I149&lt;&gt;"Owner or manager",I149&lt;&gt;"Site visit"),"Confirm the pin",IF(K149=0,"Add its courts",IF(K149&gt;40,"Over 40 courts",IF(COUNTIFS(Courts!$A$2:$A$1001,A149,Courts!$G$2:$G$1001,"&lt;&gt;OK")&gt;0,"Fix its courts",IF(L149=0,"Needs an active court","Ready")))))))))))))</f>
      </c>
    </row>
    <row r="150">
      <c r="K150" s="4">
        <f>IF(A150="","",COUNTIF(Courts!$A$2:$A$1001,A150))</f>
      </c>
      <c r="L150" s="4">
        <f>IF(A150="","",COUNTIFS(Courts!$A$2:$A$1001,A150,Courts!$F$2:$F$1001,"Yes"))</f>
      </c>
      <c r="M150" s="4">
        <f>IF(A150="","",IF(COUNTIF($A$2:$A$201,A150)&gt;1,"Duplicate venue code",IF(OR(B150="",C150="",D150="",E150="",G150="",H150="",I150="",J150=""),"Missing details",IF(OR(LEN(A150)&gt;40,LEN(B150)&gt;120,LEN(C150)&gt;240,LEN(D150)&gt;80,LEN(E150)&gt;80),"Text too long",IF(OR(NOT(ISNUMBER(G150)),NOT(ISNUMBER(H150))),"Pin must be two numbers",IF(OR(G150&lt;4,G150&gt;21.5,H150&lt;116,H150&gt;127),"Pin outside the Philippines",IF(J150="No","No permission: do not import",IF(J150&lt;&gt;"Yes","Waiting for permission",IF(AND(I150&lt;&gt;"Owner or manager",I150&lt;&gt;"Site visit"),"Confirm the pin",IF(K150=0,"Add its courts",IF(K150&gt;40,"Over 40 courts",IF(COUNTIFS(Courts!$A$2:$A$1001,A150,Courts!$G$2:$G$1001,"&lt;&gt;OK")&gt;0,"Fix its courts",IF(L150=0,"Needs an active court","Ready")))))))))))))</f>
      </c>
    </row>
    <row r="151">
      <c r="K151" s="4">
        <f>IF(A151="","",COUNTIF(Courts!$A$2:$A$1001,A151))</f>
      </c>
      <c r="L151" s="4">
        <f>IF(A151="","",COUNTIFS(Courts!$A$2:$A$1001,A151,Courts!$F$2:$F$1001,"Yes"))</f>
      </c>
      <c r="M151" s="4">
        <f>IF(A151="","",IF(COUNTIF($A$2:$A$201,A151)&gt;1,"Duplicate venue code",IF(OR(B151="",C151="",D151="",E151="",G151="",H151="",I151="",J151=""),"Missing details",IF(OR(LEN(A151)&gt;40,LEN(B151)&gt;120,LEN(C151)&gt;240,LEN(D151)&gt;80,LEN(E151)&gt;80),"Text too long",IF(OR(NOT(ISNUMBER(G151)),NOT(ISNUMBER(H151))),"Pin must be two numbers",IF(OR(G151&lt;4,G151&gt;21.5,H151&lt;116,H151&gt;127),"Pin outside the Philippines",IF(J151="No","No permission: do not import",IF(J151&lt;&gt;"Yes","Waiting for permission",IF(AND(I151&lt;&gt;"Owner or manager",I151&lt;&gt;"Site visit"),"Confirm the pin",IF(K151=0,"Add its courts",IF(K151&gt;40,"Over 40 courts",IF(COUNTIFS(Courts!$A$2:$A$1001,A151,Courts!$G$2:$G$1001,"&lt;&gt;OK")&gt;0,"Fix its courts",IF(L151=0,"Needs an active court","Ready")))))))))))))</f>
      </c>
    </row>
    <row r="152">
      <c r="K152" s="4">
        <f>IF(A152="","",COUNTIF(Courts!$A$2:$A$1001,A152))</f>
      </c>
      <c r="L152" s="4">
        <f>IF(A152="","",COUNTIFS(Courts!$A$2:$A$1001,A152,Courts!$F$2:$F$1001,"Yes"))</f>
      </c>
      <c r="M152" s="4">
        <f>IF(A152="","",IF(COUNTIF($A$2:$A$201,A152)&gt;1,"Duplicate venue code",IF(OR(B152="",C152="",D152="",E152="",G152="",H152="",I152="",J152=""),"Missing details",IF(OR(LEN(A152)&gt;40,LEN(B152)&gt;120,LEN(C152)&gt;240,LEN(D152)&gt;80,LEN(E152)&gt;80),"Text too long",IF(OR(NOT(ISNUMBER(G152)),NOT(ISNUMBER(H152))),"Pin must be two numbers",IF(OR(G152&lt;4,G152&gt;21.5,H152&lt;116,H152&gt;127),"Pin outside the Philippines",IF(J152="No","No permission: do not import",IF(J152&lt;&gt;"Yes","Waiting for permission",IF(AND(I152&lt;&gt;"Owner or manager",I152&lt;&gt;"Site visit"),"Confirm the pin",IF(K152=0,"Add its courts",IF(K152&gt;40,"Over 40 courts",IF(COUNTIFS(Courts!$A$2:$A$1001,A152,Courts!$G$2:$G$1001,"&lt;&gt;OK")&gt;0,"Fix its courts",IF(L152=0,"Needs an active court","Ready")))))))))))))</f>
      </c>
    </row>
    <row r="153">
      <c r="K153" s="4">
        <f>IF(A153="","",COUNTIF(Courts!$A$2:$A$1001,A153))</f>
      </c>
      <c r="L153" s="4">
        <f>IF(A153="","",COUNTIFS(Courts!$A$2:$A$1001,A153,Courts!$F$2:$F$1001,"Yes"))</f>
      </c>
      <c r="M153" s="4">
        <f>IF(A153="","",IF(COUNTIF($A$2:$A$201,A153)&gt;1,"Duplicate venue code",IF(OR(B153="",C153="",D153="",E153="",G153="",H153="",I153="",J153=""),"Missing details",IF(OR(LEN(A153)&gt;40,LEN(B153)&gt;120,LEN(C153)&gt;240,LEN(D153)&gt;80,LEN(E153)&gt;80),"Text too long",IF(OR(NOT(ISNUMBER(G153)),NOT(ISNUMBER(H153))),"Pin must be two numbers",IF(OR(G153&lt;4,G153&gt;21.5,H153&lt;116,H153&gt;127),"Pin outside the Philippines",IF(J153="No","No permission: do not import",IF(J153&lt;&gt;"Yes","Waiting for permission",IF(AND(I153&lt;&gt;"Owner or manager",I153&lt;&gt;"Site visit"),"Confirm the pin",IF(K153=0,"Add its courts",IF(K153&gt;40,"Over 40 courts",IF(COUNTIFS(Courts!$A$2:$A$1001,A153,Courts!$G$2:$G$1001,"&lt;&gt;OK")&gt;0,"Fix its courts",IF(L153=0,"Needs an active court","Ready")))))))))))))</f>
      </c>
    </row>
    <row r="154">
      <c r="K154" s="4">
        <f>IF(A154="","",COUNTIF(Courts!$A$2:$A$1001,A154))</f>
      </c>
      <c r="L154" s="4">
        <f>IF(A154="","",COUNTIFS(Courts!$A$2:$A$1001,A154,Courts!$F$2:$F$1001,"Yes"))</f>
      </c>
      <c r="M154" s="4">
        <f>IF(A154="","",IF(COUNTIF($A$2:$A$201,A154)&gt;1,"Duplicate venue code",IF(OR(B154="",C154="",D154="",E154="",G154="",H154="",I154="",J154=""),"Missing details",IF(OR(LEN(A154)&gt;40,LEN(B154)&gt;120,LEN(C154)&gt;240,LEN(D154)&gt;80,LEN(E154)&gt;80),"Text too long",IF(OR(NOT(ISNUMBER(G154)),NOT(ISNUMBER(H154))),"Pin must be two numbers",IF(OR(G154&lt;4,G154&gt;21.5,H154&lt;116,H154&gt;127),"Pin outside the Philippines",IF(J154="No","No permission: do not import",IF(J154&lt;&gt;"Yes","Waiting for permission",IF(AND(I154&lt;&gt;"Owner or manager",I154&lt;&gt;"Site visit"),"Confirm the pin",IF(K154=0,"Add its courts",IF(K154&gt;40,"Over 40 courts",IF(COUNTIFS(Courts!$A$2:$A$1001,A154,Courts!$G$2:$G$1001,"&lt;&gt;OK")&gt;0,"Fix its courts",IF(L154=0,"Needs an active court","Ready")))))))))))))</f>
      </c>
    </row>
    <row r="155">
      <c r="K155" s="4">
        <f>IF(A155="","",COUNTIF(Courts!$A$2:$A$1001,A155))</f>
      </c>
      <c r="L155" s="4">
        <f>IF(A155="","",COUNTIFS(Courts!$A$2:$A$1001,A155,Courts!$F$2:$F$1001,"Yes"))</f>
      </c>
      <c r="M155" s="4">
        <f>IF(A155="","",IF(COUNTIF($A$2:$A$201,A155)&gt;1,"Duplicate venue code",IF(OR(B155="",C155="",D155="",E155="",G155="",H155="",I155="",J155=""),"Missing details",IF(OR(LEN(A155)&gt;40,LEN(B155)&gt;120,LEN(C155)&gt;240,LEN(D155)&gt;80,LEN(E155)&gt;80),"Text too long",IF(OR(NOT(ISNUMBER(G155)),NOT(ISNUMBER(H155))),"Pin must be two numbers",IF(OR(G155&lt;4,G155&gt;21.5,H155&lt;116,H155&gt;127),"Pin outside the Philippines",IF(J155="No","No permission: do not import",IF(J155&lt;&gt;"Yes","Waiting for permission",IF(AND(I155&lt;&gt;"Owner or manager",I155&lt;&gt;"Site visit"),"Confirm the pin",IF(K155=0,"Add its courts",IF(K155&gt;40,"Over 40 courts",IF(COUNTIFS(Courts!$A$2:$A$1001,A155,Courts!$G$2:$G$1001,"&lt;&gt;OK")&gt;0,"Fix its courts",IF(L155=0,"Needs an active court","Ready")))))))))))))</f>
      </c>
    </row>
    <row r="156">
      <c r="K156" s="4">
        <f>IF(A156="","",COUNTIF(Courts!$A$2:$A$1001,A156))</f>
      </c>
      <c r="L156" s="4">
        <f>IF(A156="","",COUNTIFS(Courts!$A$2:$A$1001,A156,Courts!$F$2:$F$1001,"Yes"))</f>
      </c>
      <c r="M156" s="4">
        <f>IF(A156="","",IF(COUNTIF($A$2:$A$201,A156)&gt;1,"Duplicate venue code",IF(OR(B156="",C156="",D156="",E156="",G156="",H156="",I156="",J156=""),"Missing details",IF(OR(LEN(A156)&gt;40,LEN(B156)&gt;120,LEN(C156)&gt;240,LEN(D156)&gt;80,LEN(E156)&gt;80),"Text too long",IF(OR(NOT(ISNUMBER(G156)),NOT(ISNUMBER(H156))),"Pin must be two numbers",IF(OR(G156&lt;4,G156&gt;21.5,H156&lt;116,H156&gt;127),"Pin outside the Philippines",IF(J156="No","No permission: do not import",IF(J156&lt;&gt;"Yes","Waiting for permission",IF(AND(I156&lt;&gt;"Owner or manager",I156&lt;&gt;"Site visit"),"Confirm the pin",IF(K156=0,"Add its courts",IF(K156&gt;40,"Over 40 courts",IF(COUNTIFS(Courts!$A$2:$A$1001,A156,Courts!$G$2:$G$1001,"&lt;&gt;OK")&gt;0,"Fix its courts",IF(L156=0,"Needs an active court","Ready")))))))))))))</f>
      </c>
    </row>
    <row r="157">
      <c r="K157" s="4">
        <f>IF(A157="","",COUNTIF(Courts!$A$2:$A$1001,A157))</f>
      </c>
      <c r="L157" s="4">
        <f>IF(A157="","",COUNTIFS(Courts!$A$2:$A$1001,A157,Courts!$F$2:$F$1001,"Yes"))</f>
      </c>
      <c r="M157" s="4">
        <f>IF(A157="","",IF(COUNTIF($A$2:$A$201,A157)&gt;1,"Duplicate venue code",IF(OR(B157="",C157="",D157="",E157="",G157="",H157="",I157="",J157=""),"Missing details",IF(OR(LEN(A157)&gt;40,LEN(B157)&gt;120,LEN(C157)&gt;240,LEN(D157)&gt;80,LEN(E157)&gt;80),"Text too long",IF(OR(NOT(ISNUMBER(G157)),NOT(ISNUMBER(H157))),"Pin must be two numbers",IF(OR(G157&lt;4,G157&gt;21.5,H157&lt;116,H157&gt;127),"Pin outside the Philippines",IF(J157="No","No permission: do not import",IF(J157&lt;&gt;"Yes","Waiting for permission",IF(AND(I157&lt;&gt;"Owner or manager",I157&lt;&gt;"Site visit"),"Confirm the pin",IF(K157=0,"Add its courts",IF(K157&gt;40,"Over 40 courts",IF(COUNTIFS(Courts!$A$2:$A$1001,A157,Courts!$G$2:$G$1001,"&lt;&gt;OK")&gt;0,"Fix its courts",IF(L157=0,"Needs an active court","Ready")))))))))))))</f>
      </c>
    </row>
    <row r="158">
      <c r="K158" s="4">
        <f>IF(A158="","",COUNTIF(Courts!$A$2:$A$1001,A158))</f>
      </c>
      <c r="L158" s="4">
        <f>IF(A158="","",COUNTIFS(Courts!$A$2:$A$1001,A158,Courts!$F$2:$F$1001,"Yes"))</f>
      </c>
      <c r="M158" s="4">
        <f>IF(A158="","",IF(COUNTIF($A$2:$A$201,A158)&gt;1,"Duplicate venue code",IF(OR(B158="",C158="",D158="",E158="",G158="",H158="",I158="",J158=""),"Missing details",IF(OR(LEN(A158)&gt;40,LEN(B158)&gt;120,LEN(C158)&gt;240,LEN(D158)&gt;80,LEN(E158)&gt;80),"Text too long",IF(OR(NOT(ISNUMBER(G158)),NOT(ISNUMBER(H158))),"Pin must be two numbers",IF(OR(G158&lt;4,G158&gt;21.5,H158&lt;116,H158&gt;127),"Pin outside the Philippines",IF(J158="No","No permission: do not import",IF(J158&lt;&gt;"Yes","Waiting for permission",IF(AND(I158&lt;&gt;"Owner or manager",I158&lt;&gt;"Site visit"),"Confirm the pin",IF(K158=0,"Add its courts",IF(K158&gt;40,"Over 40 courts",IF(COUNTIFS(Courts!$A$2:$A$1001,A158,Courts!$G$2:$G$1001,"&lt;&gt;OK")&gt;0,"Fix its courts",IF(L158=0,"Needs an active court","Ready")))))))))))))</f>
      </c>
    </row>
    <row r="159">
      <c r="K159" s="4">
        <f>IF(A159="","",COUNTIF(Courts!$A$2:$A$1001,A159))</f>
      </c>
      <c r="L159" s="4">
        <f>IF(A159="","",COUNTIFS(Courts!$A$2:$A$1001,A159,Courts!$F$2:$F$1001,"Yes"))</f>
      </c>
      <c r="M159" s="4">
        <f>IF(A159="","",IF(COUNTIF($A$2:$A$201,A159)&gt;1,"Duplicate venue code",IF(OR(B159="",C159="",D159="",E159="",G159="",H159="",I159="",J159=""),"Missing details",IF(OR(LEN(A159)&gt;40,LEN(B159)&gt;120,LEN(C159)&gt;240,LEN(D159)&gt;80,LEN(E159)&gt;80),"Text too long",IF(OR(NOT(ISNUMBER(G159)),NOT(ISNUMBER(H159))),"Pin must be two numbers",IF(OR(G159&lt;4,G159&gt;21.5,H159&lt;116,H159&gt;127),"Pin outside the Philippines",IF(J159="No","No permission: do not import",IF(J159&lt;&gt;"Yes","Waiting for permission",IF(AND(I159&lt;&gt;"Owner or manager",I159&lt;&gt;"Site visit"),"Confirm the pin",IF(K159=0,"Add its courts",IF(K159&gt;40,"Over 40 courts",IF(COUNTIFS(Courts!$A$2:$A$1001,A159,Courts!$G$2:$G$1001,"&lt;&gt;OK")&gt;0,"Fix its courts",IF(L159=0,"Needs an active court","Ready")))))))))))))</f>
      </c>
    </row>
    <row r="160">
      <c r="K160" s="4">
        <f>IF(A160="","",COUNTIF(Courts!$A$2:$A$1001,A160))</f>
      </c>
      <c r="L160" s="4">
        <f>IF(A160="","",COUNTIFS(Courts!$A$2:$A$1001,A160,Courts!$F$2:$F$1001,"Yes"))</f>
      </c>
      <c r="M160" s="4">
        <f>IF(A160="","",IF(COUNTIF($A$2:$A$201,A160)&gt;1,"Duplicate venue code",IF(OR(B160="",C160="",D160="",E160="",G160="",H160="",I160="",J160=""),"Missing details",IF(OR(LEN(A160)&gt;40,LEN(B160)&gt;120,LEN(C160)&gt;240,LEN(D160)&gt;80,LEN(E160)&gt;80),"Text too long",IF(OR(NOT(ISNUMBER(G160)),NOT(ISNUMBER(H160))),"Pin must be two numbers",IF(OR(G160&lt;4,G160&gt;21.5,H160&lt;116,H160&gt;127),"Pin outside the Philippines",IF(J160="No","No permission: do not import",IF(J160&lt;&gt;"Yes","Waiting for permission",IF(AND(I160&lt;&gt;"Owner or manager",I160&lt;&gt;"Site visit"),"Confirm the pin",IF(K160=0,"Add its courts",IF(K160&gt;40,"Over 40 courts",IF(COUNTIFS(Courts!$A$2:$A$1001,A160,Courts!$G$2:$G$1001,"&lt;&gt;OK")&gt;0,"Fix its courts",IF(L160=0,"Needs an active court","Ready")))))))))))))</f>
      </c>
    </row>
    <row r="161">
      <c r="K161" s="4">
        <f>IF(A161="","",COUNTIF(Courts!$A$2:$A$1001,A161))</f>
      </c>
      <c r="L161" s="4">
        <f>IF(A161="","",COUNTIFS(Courts!$A$2:$A$1001,A161,Courts!$F$2:$F$1001,"Yes"))</f>
      </c>
      <c r="M161" s="4">
        <f>IF(A161="","",IF(COUNTIF($A$2:$A$201,A161)&gt;1,"Duplicate venue code",IF(OR(B161="",C161="",D161="",E161="",G161="",H161="",I161="",J161=""),"Missing details",IF(OR(LEN(A161)&gt;40,LEN(B161)&gt;120,LEN(C161)&gt;240,LEN(D161)&gt;80,LEN(E161)&gt;80),"Text too long",IF(OR(NOT(ISNUMBER(G161)),NOT(ISNUMBER(H161))),"Pin must be two numbers",IF(OR(G161&lt;4,G161&gt;21.5,H161&lt;116,H161&gt;127),"Pin outside the Philippines",IF(J161="No","No permission: do not import",IF(J161&lt;&gt;"Yes","Waiting for permission",IF(AND(I161&lt;&gt;"Owner or manager",I161&lt;&gt;"Site visit"),"Confirm the pin",IF(K161=0,"Add its courts",IF(K161&gt;40,"Over 40 courts",IF(COUNTIFS(Courts!$A$2:$A$1001,A161,Courts!$G$2:$G$1001,"&lt;&gt;OK")&gt;0,"Fix its courts",IF(L161=0,"Needs an active court","Ready")))))))))))))</f>
      </c>
    </row>
    <row r="162">
      <c r="K162" s="4">
        <f>IF(A162="","",COUNTIF(Courts!$A$2:$A$1001,A162))</f>
      </c>
      <c r="L162" s="4">
        <f>IF(A162="","",COUNTIFS(Courts!$A$2:$A$1001,A162,Courts!$F$2:$F$1001,"Yes"))</f>
      </c>
      <c r="M162" s="4">
        <f>IF(A162="","",IF(COUNTIF($A$2:$A$201,A162)&gt;1,"Duplicate venue code",IF(OR(B162="",C162="",D162="",E162="",G162="",H162="",I162="",J162=""),"Missing details",IF(OR(LEN(A162)&gt;40,LEN(B162)&gt;120,LEN(C162)&gt;240,LEN(D162)&gt;80,LEN(E162)&gt;80),"Text too long",IF(OR(NOT(ISNUMBER(G162)),NOT(ISNUMBER(H162))),"Pin must be two numbers",IF(OR(G162&lt;4,G162&gt;21.5,H162&lt;116,H162&gt;127),"Pin outside the Philippines",IF(J162="No","No permission: do not import",IF(J162&lt;&gt;"Yes","Waiting for permission",IF(AND(I162&lt;&gt;"Owner or manager",I162&lt;&gt;"Site visit"),"Confirm the pin",IF(K162=0,"Add its courts",IF(K162&gt;40,"Over 40 courts",IF(COUNTIFS(Courts!$A$2:$A$1001,A162,Courts!$G$2:$G$1001,"&lt;&gt;OK")&gt;0,"Fix its courts",IF(L162=0,"Needs an active court","Ready")))))))))))))</f>
      </c>
    </row>
    <row r="163">
      <c r="K163" s="4">
        <f>IF(A163="","",COUNTIF(Courts!$A$2:$A$1001,A163))</f>
      </c>
      <c r="L163" s="4">
        <f>IF(A163="","",COUNTIFS(Courts!$A$2:$A$1001,A163,Courts!$F$2:$F$1001,"Yes"))</f>
      </c>
      <c r="M163" s="4">
        <f>IF(A163="","",IF(COUNTIF($A$2:$A$201,A163)&gt;1,"Duplicate venue code",IF(OR(B163="",C163="",D163="",E163="",G163="",H163="",I163="",J163=""),"Missing details",IF(OR(LEN(A163)&gt;40,LEN(B163)&gt;120,LEN(C163)&gt;240,LEN(D163)&gt;80,LEN(E163)&gt;80),"Text too long",IF(OR(NOT(ISNUMBER(G163)),NOT(ISNUMBER(H163))),"Pin must be two numbers",IF(OR(G163&lt;4,G163&gt;21.5,H163&lt;116,H163&gt;127),"Pin outside the Philippines",IF(J163="No","No permission: do not import",IF(J163&lt;&gt;"Yes","Waiting for permission",IF(AND(I163&lt;&gt;"Owner or manager",I163&lt;&gt;"Site visit"),"Confirm the pin",IF(K163=0,"Add its courts",IF(K163&gt;40,"Over 40 courts",IF(COUNTIFS(Courts!$A$2:$A$1001,A163,Courts!$G$2:$G$1001,"&lt;&gt;OK")&gt;0,"Fix its courts",IF(L163=0,"Needs an active court","Ready")))))))))))))</f>
      </c>
    </row>
    <row r="164">
      <c r="K164" s="4">
        <f>IF(A164="","",COUNTIF(Courts!$A$2:$A$1001,A164))</f>
      </c>
      <c r="L164" s="4">
        <f>IF(A164="","",COUNTIFS(Courts!$A$2:$A$1001,A164,Courts!$F$2:$F$1001,"Yes"))</f>
      </c>
      <c r="M164" s="4">
        <f>IF(A164="","",IF(COUNTIF($A$2:$A$201,A164)&gt;1,"Duplicate venue code",IF(OR(B164="",C164="",D164="",E164="",G164="",H164="",I164="",J164=""),"Missing details",IF(OR(LEN(A164)&gt;40,LEN(B164)&gt;120,LEN(C164)&gt;240,LEN(D164)&gt;80,LEN(E164)&gt;80),"Text too long",IF(OR(NOT(ISNUMBER(G164)),NOT(ISNUMBER(H164))),"Pin must be two numbers",IF(OR(G164&lt;4,G164&gt;21.5,H164&lt;116,H164&gt;127),"Pin outside the Philippines",IF(J164="No","No permission: do not import",IF(J164&lt;&gt;"Yes","Waiting for permission",IF(AND(I164&lt;&gt;"Owner or manager",I164&lt;&gt;"Site visit"),"Confirm the pin",IF(K164=0,"Add its courts",IF(K164&gt;40,"Over 40 courts",IF(COUNTIFS(Courts!$A$2:$A$1001,A164,Courts!$G$2:$G$1001,"&lt;&gt;OK")&gt;0,"Fix its courts",IF(L164=0,"Needs an active court","Ready")))))))))))))</f>
      </c>
    </row>
    <row r="165">
      <c r="K165" s="4">
        <f>IF(A165="","",COUNTIF(Courts!$A$2:$A$1001,A165))</f>
      </c>
      <c r="L165" s="4">
        <f>IF(A165="","",COUNTIFS(Courts!$A$2:$A$1001,A165,Courts!$F$2:$F$1001,"Yes"))</f>
      </c>
      <c r="M165" s="4">
        <f>IF(A165="","",IF(COUNTIF($A$2:$A$201,A165)&gt;1,"Duplicate venue code",IF(OR(B165="",C165="",D165="",E165="",G165="",H165="",I165="",J165=""),"Missing details",IF(OR(LEN(A165)&gt;40,LEN(B165)&gt;120,LEN(C165)&gt;240,LEN(D165)&gt;80,LEN(E165)&gt;80),"Text too long",IF(OR(NOT(ISNUMBER(G165)),NOT(ISNUMBER(H165))),"Pin must be two numbers",IF(OR(G165&lt;4,G165&gt;21.5,H165&lt;116,H165&gt;127),"Pin outside the Philippines",IF(J165="No","No permission: do not import",IF(J165&lt;&gt;"Yes","Waiting for permission",IF(AND(I165&lt;&gt;"Owner or manager",I165&lt;&gt;"Site visit"),"Confirm the pin",IF(K165=0,"Add its courts",IF(K165&gt;40,"Over 40 courts",IF(COUNTIFS(Courts!$A$2:$A$1001,A165,Courts!$G$2:$G$1001,"&lt;&gt;OK")&gt;0,"Fix its courts",IF(L165=0,"Needs an active court","Ready")))))))))))))</f>
      </c>
    </row>
    <row r="166">
      <c r="K166" s="4">
        <f>IF(A166="","",COUNTIF(Courts!$A$2:$A$1001,A166))</f>
      </c>
      <c r="L166" s="4">
        <f>IF(A166="","",COUNTIFS(Courts!$A$2:$A$1001,A166,Courts!$F$2:$F$1001,"Yes"))</f>
      </c>
      <c r="M166" s="4">
        <f>IF(A166="","",IF(COUNTIF($A$2:$A$201,A166)&gt;1,"Duplicate venue code",IF(OR(B166="",C166="",D166="",E166="",G166="",H166="",I166="",J166=""),"Missing details",IF(OR(LEN(A166)&gt;40,LEN(B166)&gt;120,LEN(C166)&gt;240,LEN(D166)&gt;80,LEN(E166)&gt;80),"Text too long",IF(OR(NOT(ISNUMBER(G166)),NOT(ISNUMBER(H166))),"Pin must be two numbers",IF(OR(G166&lt;4,G166&gt;21.5,H166&lt;116,H166&gt;127),"Pin outside the Philippines",IF(J166="No","No permission: do not import",IF(J166&lt;&gt;"Yes","Waiting for permission",IF(AND(I166&lt;&gt;"Owner or manager",I166&lt;&gt;"Site visit"),"Confirm the pin",IF(K166=0,"Add its courts",IF(K166&gt;40,"Over 40 courts",IF(COUNTIFS(Courts!$A$2:$A$1001,A166,Courts!$G$2:$G$1001,"&lt;&gt;OK")&gt;0,"Fix its courts",IF(L166=0,"Needs an active court","Ready")))))))))))))</f>
      </c>
    </row>
    <row r="167">
      <c r="K167" s="4">
        <f>IF(A167="","",COUNTIF(Courts!$A$2:$A$1001,A167))</f>
      </c>
      <c r="L167" s="4">
        <f>IF(A167="","",COUNTIFS(Courts!$A$2:$A$1001,A167,Courts!$F$2:$F$1001,"Yes"))</f>
      </c>
      <c r="M167" s="4">
        <f>IF(A167="","",IF(COUNTIF($A$2:$A$201,A167)&gt;1,"Duplicate venue code",IF(OR(B167="",C167="",D167="",E167="",G167="",H167="",I167="",J167=""),"Missing details",IF(OR(LEN(A167)&gt;40,LEN(B167)&gt;120,LEN(C167)&gt;240,LEN(D167)&gt;80,LEN(E167)&gt;80),"Text too long",IF(OR(NOT(ISNUMBER(G167)),NOT(ISNUMBER(H167))),"Pin must be two numbers",IF(OR(G167&lt;4,G167&gt;21.5,H167&lt;116,H167&gt;127),"Pin outside the Philippines",IF(J167="No","No permission: do not import",IF(J167&lt;&gt;"Yes","Waiting for permission",IF(AND(I167&lt;&gt;"Owner or manager",I167&lt;&gt;"Site visit"),"Confirm the pin",IF(K167=0,"Add its courts",IF(K167&gt;40,"Over 40 courts",IF(COUNTIFS(Courts!$A$2:$A$1001,A167,Courts!$G$2:$G$1001,"&lt;&gt;OK")&gt;0,"Fix its courts",IF(L167=0,"Needs an active court","Ready")))))))))))))</f>
      </c>
    </row>
    <row r="168">
      <c r="K168" s="4">
        <f>IF(A168="","",COUNTIF(Courts!$A$2:$A$1001,A168))</f>
      </c>
      <c r="L168" s="4">
        <f>IF(A168="","",COUNTIFS(Courts!$A$2:$A$1001,A168,Courts!$F$2:$F$1001,"Yes"))</f>
      </c>
      <c r="M168" s="4">
        <f>IF(A168="","",IF(COUNTIF($A$2:$A$201,A168)&gt;1,"Duplicate venue code",IF(OR(B168="",C168="",D168="",E168="",G168="",H168="",I168="",J168=""),"Missing details",IF(OR(LEN(A168)&gt;40,LEN(B168)&gt;120,LEN(C168)&gt;240,LEN(D168)&gt;80,LEN(E168)&gt;80),"Text too long",IF(OR(NOT(ISNUMBER(G168)),NOT(ISNUMBER(H168))),"Pin must be two numbers",IF(OR(G168&lt;4,G168&gt;21.5,H168&lt;116,H168&gt;127),"Pin outside the Philippines",IF(J168="No","No permission: do not import",IF(J168&lt;&gt;"Yes","Waiting for permission",IF(AND(I168&lt;&gt;"Owner or manager",I168&lt;&gt;"Site visit"),"Confirm the pin",IF(K168=0,"Add its courts",IF(K168&gt;40,"Over 40 courts",IF(COUNTIFS(Courts!$A$2:$A$1001,A168,Courts!$G$2:$G$1001,"&lt;&gt;OK")&gt;0,"Fix its courts",IF(L168=0,"Needs an active court","Ready")))))))))))))</f>
      </c>
    </row>
    <row r="169">
      <c r="K169" s="4">
        <f>IF(A169="","",COUNTIF(Courts!$A$2:$A$1001,A169))</f>
      </c>
      <c r="L169" s="4">
        <f>IF(A169="","",COUNTIFS(Courts!$A$2:$A$1001,A169,Courts!$F$2:$F$1001,"Yes"))</f>
      </c>
      <c r="M169" s="4">
        <f>IF(A169="","",IF(COUNTIF($A$2:$A$201,A169)&gt;1,"Duplicate venue code",IF(OR(B169="",C169="",D169="",E169="",G169="",H169="",I169="",J169=""),"Missing details",IF(OR(LEN(A169)&gt;40,LEN(B169)&gt;120,LEN(C169)&gt;240,LEN(D169)&gt;80,LEN(E169)&gt;80),"Text too long",IF(OR(NOT(ISNUMBER(G169)),NOT(ISNUMBER(H169))),"Pin must be two numbers",IF(OR(G169&lt;4,G169&gt;21.5,H169&lt;116,H169&gt;127),"Pin outside the Philippines",IF(J169="No","No permission: do not import",IF(J169&lt;&gt;"Yes","Waiting for permission",IF(AND(I169&lt;&gt;"Owner or manager",I169&lt;&gt;"Site visit"),"Confirm the pin",IF(K169=0,"Add its courts",IF(K169&gt;40,"Over 40 courts",IF(COUNTIFS(Courts!$A$2:$A$1001,A169,Courts!$G$2:$G$1001,"&lt;&gt;OK")&gt;0,"Fix its courts",IF(L169=0,"Needs an active court","Ready")))))))))))))</f>
      </c>
    </row>
    <row r="170">
      <c r="K170" s="4">
        <f>IF(A170="","",COUNTIF(Courts!$A$2:$A$1001,A170))</f>
      </c>
      <c r="L170" s="4">
        <f>IF(A170="","",COUNTIFS(Courts!$A$2:$A$1001,A170,Courts!$F$2:$F$1001,"Yes"))</f>
      </c>
      <c r="M170" s="4">
        <f>IF(A170="","",IF(COUNTIF($A$2:$A$201,A170)&gt;1,"Duplicate venue code",IF(OR(B170="",C170="",D170="",E170="",G170="",H170="",I170="",J170=""),"Missing details",IF(OR(LEN(A170)&gt;40,LEN(B170)&gt;120,LEN(C170)&gt;240,LEN(D170)&gt;80,LEN(E170)&gt;80),"Text too long",IF(OR(NOT(ISNUMBER(G170)),NOT(ISNUMBER(H170))),"Pin must be two numbers",IF(OR(G170&lt;4,G170&gt;21.5,H170&lt;116,H170&gt;127),"Pin outside the Philippines",IF(J170="No","No permission: do not import",IF(J170&lt;&gt;"Yes","Waiting for permission",IF(AND(I170&lt;&gt;"Owner or manager",I170&lt;&gt;"Site visit"),"Confirm the pin",IF(K170=0,"Add its courts",IF(K170&gt;40,"Over 40 courts",IF(COUNTIFS(Courts!$A$2:$A$1001,A170,Courts!$G$2:$G$1001,"&lt;&gt;OK")&gt;0,"Fix its courts",IF(L170=0,"Needs an active court","Ready")))))))))))))</f>
      </c>
    </row>
    <row r="171">
      <c r="K171" s="4">
        <f>IF(A171="","",COUNTIF(Courts!$A$2:$A$1001,A171))</f>
      </c>
      <c r="L171" s="4">
        <f>IF(A171="","",COUNTIFS(Courts!$A$2:$A$1001,A171,Courts!$F$2:$F$1001,"Yes"))</f>
      </c>
      <c r="M171" s="4">
        <f>IF(A171="","",IF(COUNTIF($A$2:$A$201,A171)&gt;1,"Duplicate venue code",IF(OR(B171="",C171="",D171="",E171="",G171="",H171="",I171="",J171=""),"Missing details",IF(OR(LEN(A171)&gt;40,LEN(B171)&gt;120,LEN(C171)&gt;240,LEN(D171)&gt;80,LEN(E171)&gt;80),"Text too long",IF(OR(NOT(ISNUMBER(G171)),NOT(ISNUMBER(H171))),"Pin must be two numbers",IF(OR(G171&lt;4,G171&gt;21.5,H171&lt;116,H171&gt;127),"Pin outside the Philippines",IF(J171="No","No permission: do not import",IF(J171&lt;&gt;"Yes","Waiting for permission",IF(AND(I171&lt;&gt;"Owner or manager",I171&lt;&gt;"Site visit"),"Confirm the pin",IF(K171=0,"Add its courts",IF(K171&gt;40,"Over 40 courts",IF(COUNTIFS(Courts!$A$2:$A$1001,A171,Courts!$G$2:$G$1001,"&lt;&gt;OK")&gt;0,"Fix its courts",IF(L171=0,"Needs an active court","Ready")))))))))))))</f>
      </c>
    </row>
    <row r="172">
      <c r="K172" s="4">
        <f>IF(A172="","",COUNTIF(Courts!$A$2:$A$1001,A172))</f>
      </c>
      <c r="L172" s="4">
        <f>IF(A172="","",COUNTIFS(Courts!$A$2:$A$1001,A172,Courts!$F$2:$F$1001,"Yes"))</f>
      </c>
      <c r="M172" s="4">
        <f>IF(A172="","",IF(COUNTIF($A$2:$A$201,A172)&gt;1,"Duplicate venue code",IF(OR(B172="",C172="",D172="",E172="",G172="",H172="",I172="",J172=""),"Missing details",IF(OR(LEN(A172)&gt;40,LEN(B172)&gt;120,LEN(C172)&gt;240,LEN(D172)&gt;80,LEN(E172)&gt;80),"Text too long",IF(OR(NOT(ISNUMBER(G172)),NOT(ISNUMBER(H172))),"Pin must be two numbers",IF(OR(G172&lt;4,G172&gt;21.5,H172&lt;116,H172&gt;127),"Pin outside the Philippines",IF(J172="No","No permission: do not import",IF(J172&lt;&gt;"Yes","Waiting for permission",IF(AND(I172&lt;&gt;"Owner or manager",I172&lt;&gt;"Site visit"),"Confirm the pin",IF(K172=0,"Add its courts",IF(K172&gt;40,"Over 40 courts",IF(COUNTIFS(Courts!$A$2:$A$1001,A172,Courts!$G$2:$G$1001,"&lt;&gt;OK")&gt;0,"Fix its courts",IF(L172=0,"Needs an active court","Ready")))))))))))))</f>
      </c>
    </row>
    <row r="173">
      <c r="K173" s="4">
        <f>IF(A173="","",COUNTIF(Courts!$A$2:$A$1001,A173))</f>
      </c>
      <c r="L173" s="4">
        <f>IF(A173="","",COUNTIFS(Courts!$A$2:$A$1001,A173,Courts!$F$2:$F$1001,"Yes"))</f>
      </c>
      <c r="M173" s="4">
        <f>IF(A173="","",IF(COUNTIF($A$2:$A$201,A173)&gt;1,"Duplicate venue code",IF(OR(B173="",C173="",D173="",E173="",G173="",H173="",I173="",J173=""),"Missing details",IF(OR(LEN(A173)&gt;40,LEN(B173)&gt;120,LEN(C173)&gt;240,LEN(D173)&gt;80,LEN(E173)&gt;80),"Text too long",IF(OR(NOT(ISNUMBER(G173)),NOT(ISNUMBER(H173))),"Pin must be two numbers",IF(OR(G173&lt;4,G173&gt;21.5,H173&lt;116,H173&gt;127),"Pin outside the Philippines",IF(J173="No","No permission: do not import",IF(J173&lt;&gt;"Yes","Waiting for permission",IF(AND(I173&lt;&gt;"Owner or manager",I173&lt;&gt;"Site visit"),"Confirm the pin",IF(K173=0,"Add its courts",IF(K173&gt;40,"Over 40 courts",IF(COUNTIFS(Courts!$A$2:$A$1001,A173,Courts!$G$2:$G$1001,"&lt;&gt;OK")&gt;0,"Fix its courts",IF(L173=0,"Needs an active court","Ready")))))))))))))</f>
      </c>
    </row>
    <row r="174">
      <c r="K174" s="4">
        <f>IF(A174="","",COUNTIF(Courts!$A$2:$A$1001,A174))</f>
      </c>
      <c r="L174" s="4">
        <f>IF(A174="","",COUNTIFS(Courts!$A$2:$A$1001,A174,Courts!$F$2:$F$1001,"Yes"))</f>
      </c>
      <c r="M174" s="4">
        <f>IF(A174="","",IF(COUNTIF($A$2:$A$201,A174)&gt;1,"Duplicate venue code",IF(OR(B174="",C174="",D174="",E174="",G174="",H174="",I174="",J174=""),"Missing details",IF(OR(LEN(A174)&gt;40,LEN(B174)&gt;120,LEN(C174)&gt;240,LEN(D174)&gt;80,LEN(E174)&gt;80),"Text too long",IF(OR(NOT(ISNUMBER(G174)),NOT(ISNUMBER(H174))),"Pin must be two numbers",IF(OR(G174&lt;4,G174&gt;21.5,H174&lt;116,H174&gt;127),"Pin outside the Philippines",IF(J174="No","No permission: do not import",IF(J174&lt;&gt;"Yes","Waiting for permission",IF(AND(I174&lt;&gt;"Owner or manager",I174&lt;&gt;"Site visit"),"Confirm the pin",IF(K174=0,"Add its courts",IF(K174&gt;40,"Over 40 courts",IF(COUNTIFS(Courts!$A$2:$A$1001,A174,Courts!$G$2:$G$1001,"&lt;&gt;OK")&gt;0,"Fix its courts",IF(L174=0,"Needs an active court","Ready")))))))))))))</f>
      </c>
    </row>
    <row r="175">
      <c r="K175" s="4">
        <f>IF(A175="","",COUNTIF(Courts!$A$2:$A$1001,A175))</f>
      </c>
      <c r="L175" s="4">
        <f>IF(A175="","",COUNTIFS(Courts!$A$2:$A$1001,A175,Courts!$F$2:$F$1001,"Yes"))</f>
      </c>
      <c r="M175" s="4">
        <f>IF(A175="","",IF(COUNTIF($A$2:$A$201,A175)&gt;1,"Duplicate venue code",IF(OR(B175="",C175="",D175="",E175="",G175="",H175="",I175="",J175=""),"Missing details",IF(OR(LEN(A175)&gt;40,LEN(B175)&gt;120,LEN(C175)&gt;240,LEN(D175)&gt;80,LEN(E175)&gt;80),"Text too long",IF(OR(NOT(ISNUMBER(G175)),NOT(ISNUMBER(H175))),"Pin must be two numbers",IF(OR(G175&lt;4,G175&gt;21.5,H175&lt;116,H175&gt;127),"Pin outside the Philippines",IF(J175="No","No permission: do not import",IF(J175&lt;&gt;"Yes","Waiting for permission",IF(AND(I175&lt;&gt;"Owner or manager",I175&lt;&gt;"Site visit"),"Confirm the pin",IF(K175=0,"Add its courts",IF(K175&gt;40,"Over 40 courts",IF(COUNTIFS(Courts!$A$2:$A$1001,A175,Courts!$G$2:$G$1001,"&lt;&gt;OK")&gt;0,"Fix its courts",IF(L175=0,"Needs an active court","Ready")))))))))))))</f>
      </c>
    </row>
    <row r="176">
      <c r="K176" s="4">
        <f>IF(A176="","",COUNTIF(Courts!$A$2:$A$1001,A176))</f>
      </c>
      <c r="L176" s="4">
        <f>IF(A176="","",COUNTIFS(Courts!$A$2:$A$1001,A176,Courts!$F$2:$F$1001,"Yes"))</f>
      </c>
      <c r="M176" s="4">
        <f>IF(A176="","",IF(COUNTIF($A$2:$A$201,A176)&gt;1,"Duplicate venue code",IF(OR(B176="",C176="",D176="",E176="",G176="",H176="",I176="",J176=""),"Missing details",IF(OR(LEN(A176)&gt;40,LEN(B176)&gt;120,LEN(C176)&gt;240,LEN(D176)&gt;80,LEN(E176)&gt;80),"Text too long",IF(OR(NOT(ISNUMBER(G176)),NOT(ISNUMBER(H176))),"Pin must be two numbers",IF(OR(G176&lt;4,G176&gt;21.5,H176&lt;116,H176&gt;127),"Pin outside the Philippines",IF(J176="No","No permission: do not import",IF(J176&lt;&gt;"Yes","Waiting for permission",IF(AND(I176&lt;&gt;"Owner or manager",I176&lt;&gt;"Site visit"),"Confirm the pin",IF(K176=0,"Add its courts",IF(K176&gt;40,"Over 40 courts",IF(COUNTIFS(Courts!$A$2:$A$1001,A176,Courts!$G$2:$G$1001,"&lt;&gt;OK")&gt;0,"Fix its courts",IF(L176=0,"Needs an active court","Ready")))))))))))))</f>
      </c>
    </row>
    <row r="177">
      <c r="K177" s="4">
        <f>IF(A177="","",COUNTIF(Courts!$A$2:$A$1001,A177))</f>
      </c>
      <c r="L177" s="4">
        <f>IF(A177="","",COUNTIFS(Courts!$A$2:$A$1001,A177,Courts!$F$2:$F$1001,"Yes"))</f>
      </c>
      <c r="M177" s="4">
        <f>IF(A177="","",IF(COUNTIF($A$2:$A$201,A177)&gt;1,"Duplicate venue code",IF(OR(B177="",C177="",D177="",E177="",G177="",H177="",I177="",J177=""),"Missing details",IF(OR(LEN(A177)&gt;40,LEN(B177)&gt;120,LEN(C177)&gt;240,LEN(D177)&gt;80,LEN(E177)&gt;80),"Text too long",IF(OR(NOT(ISNUMBER(G177)),NOT(ISNUMBER(H177))),"Pin must be two numbers",IF(OR(G177&lt;4,G177&gt;21.5,H177&lt;116,H177&gt;127),"Pin outside the Philippines",IF(J177="No","No permission: do not import",IF(J177&lt;&gt;"Yes","Waiting for permission",IF(AND(I177&lt;&gt;"Owner or manager",I177&lt;&gt;"Site visit"),"Confirm the pin",IF(K177=0,"Add its courts",IF(K177&gt;40,"Over 40 courts",IF(COUNTIFS(Courts!$A$2:$A$1001,A177,Courts!$G$2:$G$1001,"&lt;&gt;OK")&gt;0,"Fix its courts",IF(L177=0,"Needs an active court","Ready")))))))))))))</f>
      </c>
    </row>
    <row r="178">
      <c r="K178" s="4">
        <f>IF(A178="","",COUNTIF(Courts!$A$2:$A$1001,A178))</f>
      </c>
      <c r="L178" s="4">
        <f>IF(A178="","",COUNTIFS(Courts!$A$2:$A$1001,A178,Courts!$F$2:$F$1001,"Yes"))</f>
      </c>
      <c r="M178" s="4">
        <f>IF(A178="","",IF(COUNTIF($A$2:$A$201,A178)&gt;1,"Duplicate venue code",IF(OR(B178="",C178="",D178="",E178="",G178="",H178="",I178="",J178=""),"Missing details",IF(OR(LEN(A178)&gt;40,LEN(B178)&gt;120,LEN(C178)&gt;240,LEN(D178)&gt;80,LEN(E178)&gt;80),"Text too long",IF(OR(NOT(ISNUMBER(G178)),NOT(ISNUMBER(H178))),"Pin must be two numbers",IF(OR(G178&lt;4,G178&gt;21.5,H178&lt;116,H178&gt;127),"Pin outside the Philippines",IF(J178="No","No permission: do not import",IF(J178&lt;&gt;"Yes","Waiting for permission",IF(AND(I178&lt;&gt;"Owner or manager",I178&lt;&gt;"Site visit"),"Confirm the pin",IF(K178=0,"Add its courts",IF(K178&gt;40,"Over 40 courts",IF(COUNTIFS(Courts!$A$2:$A$1001,A178,Courts!$G$2:$G$1001,"&lt;&gt;OK")&gt;0,"Fix its courts",IF(L178=0,"Needs an active court","Ready")))))))))))))</f>
      </c>
    </row>
    <row r="179">
      <c r="K179" s="4">
        <f>IF(A179="","",COUNTIF(Courts!$A$2:$A$1001,A179))</f>
      </c>
      <c r="L179" s="4">
        <f>IF(A179="","",COUNTIFS(Courts!$A$2:$A$1001,A179,Courts!$F$2:$F$1001,"Yes"))</f>
      </c>
      <c r="M179" s="4">
        <f>IF(A179="","",IF(COUNTIF($A$2:$A$201,A179)&gt;1,"Duplicate venue code",IF(OR(B179="",C179="",D179="",E179="",G179="",H179="",I179="",J179=""),"Missing details",IF(OR(LEN(A179)&gt;40,LEN(B179)&gt;120,LEN(C179)&gt;240,LEN(D179)&gt;80,LEN(E179)&gt;80),"Text too long",IF(OR(NOT(ISNUMBER(G179)),NOT(ISNUMBER(H179))),"Pin must be two numbers",IF(OR(G179&lt;4,G179&gt;21.5,H179&lt;116,H179&gt;127),"Pin outside the Philippines",IF(J179="No","No permission: do not import",IF(J179&lt;&gt;"Yes","Waiting for permission",IF(AND(I179&lt;&gt;"Owner or manager",I179&lt;&gt;"Site visit"),"Confirm the pin",IF(K179=0,"Add its courts",IF(K179&gt;40,"Over 40 courts",IF(COUNTIFS(Courts!$A$2:$A$1001,A179,Courts!$G$2:$G$1001,"&lt;&gt;OK")&gt;0,"Fix its courts",IF(L179=0,"Needs an active court","Ready")))))))))))))</f>
      </c>
    </row>
    <row r="180">
      <c r="K180" s="4">
        <f>IF(A180="","",COUNTIF(Courts!$A$2:$A$1001,A180))</f>
      </c>
      <c r="L180" s="4">
        <f>IF(A180="","",COUNTIFS(Courts!$A$2:$A$1001,A180,Courts!$F$2:$F$1001,"Yes"))</f>
      </c>
      <c r="M180" s="4">
        <f>IF(A180="","",IF(COUNTIF($A$2:$A$201,A180)&gt;1,"Duplicate venue code",IF(OR(B180="",C180="",D180="",E180="",G180="",H180="",I180="",J180=""),"Missing details",IF(OR(LEN(A180)&gt;40,LEN(B180)&gt;120,LEN(C180)&gt;240,LEN(D180)&gt;80,LEN(E180)&gt;80),"Text too long",IF(OR(NOT(ISNUMBER(G180)),NOT(ISNUMBER(H180))),"Pin must be two numbers",IF(OR(G180&lt;4,G180&gt;21.5,H180&lt;116,H180&gt;127),"Pin outside the Philippines",IF(J180="No","No permission: do not import",IF(J180&lt;&gt;"Yes","Waiting for permission",IF(AND(I180&lt;&gt;"Owner or manager",I180&lt;&gt;"Site visit"),"Confirm the pin",IF(K180=0,"Add its courts",IF(K180&gt;40,"Over 40 courts",IF(COUNTIFS(Courts!$A$2:$A$1001,A180,Courts!$G$2:$G$1001,"&lt;&gt;OK")&gt;0,"Fix its courts",IF(L180=0,"Needs an active court","Ready")))))))))))))</f>
      </c>
    </row>
    <row r="181">
      <c r="K181" s="4">
        <f>IF(A181="","",COUNTIF(Courts!$A$2:$A$1001,A181))</f>
      </c>
      <c r="L181" s="4">
        <f>IF(A181="","",COUNTIFS(Courts!$A$2:$A$1001,A181,Courts!$F$2:$F$1001,"Yes"))</f>
      </c>
      <c r="M181" s="4">
        <f>IF(A181="","",IF(COUNTIF($A$2:$A$201,A181)&gt;1,"Duplicate venue code",IF(OR(B181="",C181="",D181="",E181="",G181="",H181="",I181="",J181=""),"Missing details",IF(OR(LEN(A181)&gt;40,LEN(B181)&gt;120,LEN(C181)&gt;240,LEN(D181)&gt;80,LEN(E181)&gt;80),"Text too long",IF(OR(NOT(ISNUMBER(G181)),NOT(ISNUMBER(H181))),"Pin must be two numbers",IF(OR(G181&lt;4,G181&gt;21.5,H181&lt;116,H181&gt;127),"Pin outside the Philippines",IF(J181="No","No permission: do not import",IF(J181&lt;&gt;"Yes","Waiting for permission",IF(AND(I181&lt;&gt;"Owner or manager",I181&lt;&gt;"Site visit"),"Confirm the pin",IF(K181=0,"Add its courts",IF(K181&gt;40,"Over 40 courts",IF(COUNTIFS(Courts!$A$2:$A$1001,A181,Courts!$G$2:$G$1001,"&lt;&gt;OK")&gt;0,"Fix its courts",IF(L181=0,"Needs an active court","Ready")))))))))))))</f>
      </c>
    </row>
    <row r="182">
      <c r="K182" s="4">
        <f>IF(A182="","",COUNTIF(Courts!$A$2:$A$1001,A182))</f>
      </c>
      <c r="L182" s="4">
        <f>IF(A182="","",COUNTIFS(Courts!$A$2:$A$1001,A182,Courts!$F$2:$F$1001,"Yes"))</f>
      </c>
      <c r="M182" s="4">
        <f>IF(A182="","",IF(COUNTIF($A$2:$A$201,A182)&gt;1,"Duplicate venue code",IF(OR(B182="",C182="",D182="",E182="",G182="",H182="",I182="",J182=""),"Missing details",IF(OR(LEN(A182)&gt;40,LEN(B182)&gt;120,LEN(C182)&gt;240,LEN(D182)&gt;80,LEN(E182)&gt;80),"Text too long",IF(OR(NOT(ISNUMBER(G182)),NOT(ISNUMBER(H182))),"Pin must be two numbers",IF(OR(G182&lt;4,G182&gt;21.5,H182&lt;116,H182&gt;127),"Pin outside the Philippines",IF(J182="No","No permission: do not import",IF(J182&lt;&gt;"Yes","Waiting for permission",IF(AND(I182&lt;&gt;"Owner or manager",I182&lt;&gt;"Site visit"),"Confirm the pin",IF(K182=0,"Add its courts",IF(K182&gt;40,"Over 40 courts",IF(COUNTIFS(Courts!$A$2:$A$1001,A182,Courts!$G$2:$G$1001,"&lt;&gt;OK")&gt;0,"Fix its courts",IF(L182=0,"Needs an active court","Ready")))))))))))))</f>
      </c>
    </row>
    <row r="183">
      <c r="K183" s="4">
        <f>IF(A183="","",COUNTIF(Courts!$A$2:$A$1001,A183))</f>
      </c>
      <c r="L183" s="4">
        <f>IF(A183="","",COUNTIFS(Courts!$A$2:$A$1001,A183,Courts!$F$2:$F$1001,"Yes"))</f>
      </c>
      <c r="M183" s="4">
        <f>IF(A183="","",IF(COUNTIF($A$2:$A$201,A183)&gt;1,"Duplicate venue code",IF(OR(B183="",C183="",D183="",E183="",G183="",H183="",I183="",J183=""),"Missing details",IF(OR(LEN(A183)&gt;40,LEN(B183)&gt;120,LEN(C183)&gt;240,LEN(D183)&gt;80,LEN(E183)&gt;80),"Text too long",IF(OR(NOT(ISNUMBER(G183)),NOT(ISNUMBER(H183))),"Pin must be two numbers",IF(OR(G183&lt;4,G183&gt;21.5,H183&lt;116,H183&gt;127),"Pin outside the Philippines",IF(J183="No","No permission: do not import",IF(J183&lt;&gt;"Yes","Waiting for permission",IF(AND(I183&lt;&gt;"Owner or manager",I183&lt;&gt;"Site visit"),"Confirm the pin",IF(K183=0,"Add its courts",IF(K183&gt;40,"Over 40 courts",IF(COUNTIFS(Courts!$A$2:$A$1001,A183,Courts!$G$2:$G$1001,"&lt;&gt;OK")&gt;0,"Fix its courts",IF(L183=0,"Needs an active court","Ready")))))))))))))</f>
      </c>
    </row>
    <row r="184">
      <c r="K184" s="4">
        <f>IF(A184="","",COUNTIF(Courts!$A$2:$A$1001,A184))</f>
      </c>
      <c r="L184" s="4">
        <f>IF(A184="","",COUNTIFS(Courts!$A$2:$A$1001,A184,Courts!$F$2:$F$1001,"Yes"))</f>
      </c>
      <c r="M184" s="4">
        <f>IF(A184="","",IF(COUNTIF($A$2:$A$201,A184)&gt;1,"Duplicate venue code",IF(OR(B184="",C184="",D184="",E184="",G184="",H184="",I184="",J184=""),"Missing details",IF(OR(LEN(A184)&gt;40,LEN(B184)&gt;120,LEN(C184)&gt;240,LEN(D184)&gt;80,LEN(E184)&gt;80),"Text too long",IF(OR(NOT(ISNUMBER(G184)),NOT(ISNUMBER(H184))),"Pin must be two numbers",IF(OR(G184&lt;4,G184&gt;21.5,H184&lt;116,H184&gt;127),"Pin outside the Philippines",IF(J184="No","No permission: do not import",IF(J184&lt;&gt;"Yes","Waiting for permission",IF(AND(I184&lt;&gt;"Owner or manager",I184&lt;&gt;"Site visit"),"Confirm the pin",IF(K184=0,"Add its courts",IF(K184&gt;40,"Over 40 courts",IF(COUNTIFS(Courts!$A$2:$A$1001,A184,Courts!$G$2:$G$1001,"&lt;&gt;OK")&gt;0,"Fix its courts",IF(L184=0,"Needs an active court","Ready")))))))))))))</f>
      </c>
    </row>
    <row r="185">
      <c r="K185" s="4">
        <f>IF(A185="","",COUNTIF(Courts!$A$2:$A$1001,A185))</f>
      </c>
      <c r="L185" s="4">
        <f>IF(A185="","",COUNTIFS(Courts!$A$2:$A$1001,A185,Courts!$F$2:$F$1001,"Yes"))</f>
      </c>
      <c r="M185" s="4">
        <f>IF(A185="","",IF(COUNTIF($A$2:$A$201,A185)&gt;1,"Duplicate venue code",IF(OR(B185="",C185="",D185="",E185="",G185="",H185="",I185="",J185=""),"Missing details",IF(OR(LEN(A185)&gt;40,LEN(B185)&gt;120,LEN(C185)&gt;240,LEN(D185)&gt;80,LEN(E185)&gt;80),"Text too long",IF(OR(NOT(ISNUMBER(G185)),NOT(ISNUMBER(H185))),"Pin must be two numbers",IF(OR(G185&lt;4,G185&gt;21.5,H185&lt;116,H185&gt;127),"Pin outside the Philippines",IF(J185="No","No permission: do not import",IF(J185&lt;&gt;"Yes","Waiting for permission",IF(AND(I185&lt;&gt;"Owner or manager",I185&lt;&gt;"Site visit"),"Confirm the pin",IF(K185=0,"Add its courts",IF(K185&gt;40,"Over 40 courts",IF(COUNTIFS(Courts!$A$2:$A$1001,A185,Courts!$G$2:$G$1001,"&lt;&gt;OK")&gt;0,"Fix its courts",IF(L185=0,"Needs an active court","Ready")))))))))))))</f>
      </c>
    </row>
    <row r="186">
      <c r="K186" s="4">
        <f>IF(A186="","",COUNTIF(Courts!$A$2:$A$1001,A186))</f>
      </c>
      <c r="L186" s="4">
        <f>IF(A186="","",COUNTIFS(Courts!$A$2:$A$1001,A186,Courts!$F$2:$F$1001,"Yes"))</f>
      </c>
      <c r="M186" s="4">
        <f>IF(A186="","",IF(COUNTIF($A$2:$A$201,A186)&gt;1,"Duplicate venue code",IF(OR(B186="",C186="",D186="",E186="",G186="",H186="",I186="",J186=""),"Missing details",IF(OR(LEN(A186)&gt;40,LEN(B186)&gt;120,LEN(C186)&gt;240,LEN(D186)&gt;80,LEN(E186)&gt;80),"Text too long",IF(OR(NOT(ISNUMBER(G186)),NOT(ISNUMBER(H186))),"Pin must be two numbers",IF(OR(G186&lt;4,G186&gt;21.5,H186&lt;116,H186&gt;127),"Pin outside the Philippines",IF(J186="No","No permission: do not import",IF(J186&lt;&gt;"Yes","Waiting for permission",IF(AND(I186&lt;&gt;"Owner or manager",I186&lt;&gt;"Site visit"),"Confirm the pin",IF(K186=0,"Add its courts",IF(K186&gt;40,"Over 40 courts",IF(COUNTIFS(Courts!$A$2:$A$1001,A186,Courts!$G$2:$G$1001,"&lt;&gt;OK")&gt;0,"Fix its courts",IF(L186=0,"Needs an active court","Ready")))))))))))))</f>
      </c>
    </row>
    <row r="187">
      <c r="K187" s="4">
        <f>IF(A187="","",COUNTIF(Courts!$A$2:$A$1001,A187))</f>
      </c>
      <c r="L187" s="4">
        <f>IF(A187="","",COUNTIFS(Courts!$A$2:$A$1001,A187,Courts!$F$2:$F$1001,"Yes"))</f>
      </c>
      <c r="M187" s="4">
        <f>IF(A187="","",IF(COUNTIF($A$2:$A$201,A187)&gt;1,"Duplicate venue code",IF(OR(B187="",C187="",D187="",E187="",G187="",H187="",I187="",J187=""),"Missing details",IF(OR(LEN(A187)&gt;40,LEN(B187)&gt;120,LEN(C187)&gt;240,LEN(D187)&gt;80,LEN(E187)&gt;80),"Text too long",IF(OR(NOT(ISNUMBER(G187)),NOT(ISNUMBER(H187))),"Pin must be two numbers",IF(OR(G187&lt;4,G187&gt;21.5,H187&lt;116,H187&gt;127),"Pin outside the Philippines",IF(J187="No","No permission: do not import",IF(J187&lt;&gt;"Yes","Waiting for permission",IF(AND(I187&lt;&gt;"Owner or manager",I187&lt;&gt;"Site visit"),"Confirm the pin",IF(K187=0,"Add its courts",IF(K187&gt;40,"Over 40 courts",IF(COUNTIFS(Courts!$A$2:$A$1001,A187,Courts!$G$2:$G$1001,"&lt;&gt;OK")&gt;0,"Fix its courts",IF(L187=0,"Needs an active court","Ready")))))))))))))</f>
      </c>
    </row>
    <row r="188">
      <c r="K188" s="4">
        <f>IF(A188="","",COUNTIF(Courts!$A$2:$A$1001,A188))</f>
      </c>
      <c r="L188" s="4">
        <f>IF(A188="","",COUNTIFS(Courts!$A$2:$A$1001,A188,Courts!$F$2:$F$1001,"Yes"))</f>
      </c>
      <c r="M188" s="4">
        <f>IF(A188="","",IF(COUNTIF($A$2:$A$201,A188)&gt;1,"Duplicate venue code",IF(OR(B188="",C188="",D188="",E188="",G188="",H188="",I188="",J188=""),"Missing details",IF(OR(LEN(A188)&gt;40,LEN(B188)&gt;120,LEN(C188)&gt;240,LEN(D188)&gt;80,LEN(E188)&gt;80),"Text too long",IF(OR(NOT(ISNUMBER(G188)),NOT(ISNUMBER(H188))),"Pin must be two numbers",IF(OR(G188&lt;4,G188&gt;21.5,H188&lt;116,H188&gt;127),"Pin outside the Philippines",IF(J188="No","No permission: do not import",IF(J188&lt;&gt;"Yes","Waiting for permission",IF(AND(I188&lt;&gt;"Owner or manager",I188&lt;&gt;"Site visit"),"Confirm the pin",IF(K188=0,"Add its courts",IF(K188&gt;40,"Over 40 courts",IF(COUNTIFS(Courts!$A$2:$A$1001,A188,Courts!$G$2:$G$1001,"&lt;&gt;OK")&gt;0,"Fix its courts",IF(L188=0,"Needs an active court","Ready")))))))))))))</f>
      </c>
    </row>
    <row r="189">
      <c r="K189" s="4">
        <f>IF(A189="","",COUNTIF(Courts!$A$2:$A$1001,A189))</f>
      </c>
      <c r="L189" s="4">
        <f>IF(A189="","",COUNTIFS(Courts!$A$2:$A$1001,A189,Courts!$F$2:$F$1001,"Yes"))</f>
      </c>
      <c r="M189" s="4">
        <f>IF(A189="","",IF(COUNTIF($A$2:$A$201,A189)&gt;1,"Duplicate venue code",IF(OR(B189="",C189="",D189="",E189="",G189="",H189="",I189="",J189=""),"Missing details",IF(OR(LEN(A189)&gt;40,LEN(B189)&gt;120,LEN(C189)&gt;240,LEN(D189)&gt;80,LEN(E189)&gt;80),"Text too long",IF(OR(NOT(ISNUMBER(G189)),NOT(ISNUMBER(H189))),"Pin must be two numbers",IF(OR(G189&lt;4,G189&gt;21.5,H189&lt;116,H189&gt;127),"Pin outside the Philippines",IF(J189="No","No permission: do not import",IF(J189&lt;&gt;"Yes","Waiting for permission",IF(AND(I189&lt;&gt;"Owner or manager",I189&lt;&gt;"Site visit"),"Confirm the pin",IF(K189=0,"Add its courts",IF(K189&gt;40,"Over 40 courts",IF(COUNTIFS(Courts!$A$2:$A$1001,A189,Courts!$G$2:$G$1001,"&lt;&gt;OK")&gt;0,"Fix its courts",IF(L189=0,"Needs an active court","Ready")))))))))))))</f>
      </c>
    </row>
    <row r="190">
      <c r="K190" s="4">
        <f>IF(A190="","",COUNTIF(Courts!$A$2:$A$1001,A190))</f>
      </c>
      <c r="L190" s="4">
        <f>IF(A190="","",COUNTIFS(Courts!$A$2:$A$1001,A190,Courts!$F$2:$F$1001,"Yes"))</f>
      </c>
      <c r="M190" s="4">
        <f>IF(A190="","",IF(COUNTIF($A$2:$A$201,A190)&gt;1,"Duplicate venue code",IF(OR(B190="",C190="",D190="",E190="",G190="",H190="",I190="",J190=""),"Missing details",IF(OR(LEN(A190)&gt;40,LEN(B190)&gt;120,LEN(C190)&gt;240,LEN(D190)&gt;80,LEN(E190)&gt;80),"Text too long",IF(OR(NOT(ISNUMBER(G190)),NOT(ISNUMBER(H190))),"Pin must be two numbers",IF(OR(G190&lt;4,G190&gt;21.5,H190&lt;116,H190&gt;127),"Pin outside the Philippines",IF(J190="No","No permission: do not import",IF(J190&lt;&gt;"Yes","Waiting for permission",IF(AND(I190&lt;&gt;"Owner or manager",I190&lt;&gt;"Site visit"),"Confirm the pin",IF(K190=0,"Add its courts",IF(K190&gt;40,"Over 40 courts",IF(COUNTIFS(Courts!$A$2:$A$1001,A190,Courts!$G$2:$G$1001,"&lt;&gt;OK")&gt;0,"Fix its courts",IF(L190=0,"Needs an active court","Ready")))))))))))))</f>
      </c>
    </row>
    <row r="191">
      <c r="K191" s="4">
        <f>IF(A191="","",COUNTIF(Courts!$A$2:$A$1001,A191))</f>
      </c>
      <c r="L191" s="4">
        <f>IF(A191="","",COUNTIFS(Courts!$A$2:$A$1001,A191,Courts!$F$2:$F$1001,"Yes"))</f>
      </c>
      <c r="M191" s="4">
        <f>IF(A191="","",IF(COUNTIF($A$2:$A$201,A191)&gt;1,"Duplicate venue code",IF(OR(B191="",C191="",D191="",E191="",G191="",H191="",I191="",J191=""),"Missing details",IF(OR(LEN(A191)&gt;40,LEN(B191)&gt;120,LEN(C191)&gt;240,LEN(D191)&gt;80,LEN(E191)&gt;80),"Text too long",IF(OR(NOT(ISNUMBER(G191)),NOT(ISNUMBER(H191))),"Pin must be two numbers",IF(OR(G191&lt;4,G191&gt;21.5,H191&lt;116,H191&gt;127),"Pin outside the Philippines",IF(J191="No","No permission: do not import",IF(J191&lt;&gt;"Yes","Waiting for permission",IF(AND(I191&lt;&gt;"Owner or manager",I191&lt;&gt;"Site visit"),"Confirm the pin",IF(K191=0,"Add its courts",IF(K191&gt;40,"Over 40 courts",IF(COUNTIFS(Courts!$A$2:$A$1001,A191,Courts!$G$2:$G$1001,"&lt;&gt;OK")&gt;0,"Fix its courts",IF(L191=0,"Needs an active court","Ready")))))))))))))</f>
      </c>
    </row>
    <row r="192">
      <c r="K192" s="4">
        <f>IF(A192="","",COUNTIF(Courts!$A$2:$A$1001,A192))</f>
      </c>
      <c r="L192" s="4">
        <f>IF(A192="","",COUNTIFS(Courts!$A$2:$A$1001,A192,Courts!$F$2:$F$1001,"Yes"))</f>
      </c>
      <c r="M192" s="4">
        <f>IF(A192="","",IF(COUNTIF($A$2:$A$201,A192)&gt;1,"Duplicate venue code",IF(OR(B192="",C192="",D192="",E192="",G192="",H192="",I192="",J192=""),"Missing details",IF(OR(LEN(A192)&gt;40,LEN(B192)&gt;120,LEN(C192)&gt;240,LEN(D192)&gt;80,LEN(E192)&gt;80),"Text too long",IF(OR(NOT(ISNUMBER(G192)),NOT(ISNUMBER(H192))),"Pin must be two numbers",IF(OR(G192&lt;4,G192&gt;21.5,H192&lt;116,H192&gt;127),"Pin outside the Philippines",IF(J192="No","No permission: do not import",IF(J192&lt;&gt;"Yes","Waiting for permission",IF(AND(I192&lt;&gt;"Owner or manager",I192&lt;&gt;"Site visit"),"Confirm the pin",IF(K192=0,"Add its courts",IF(K192&gt;40,"Over 40 courts",IF(COUNTIFS(Courts!$A$2:$A$1001,A192,Courts!$G$2:$G$1001,"&lt;&gt;OK")&gt;0,"Fix its courts",IF(L192=0,"Needs an active court","Ready")))))))))))))</f>
      </c>
    </row>
    <row r="193">
      <c r="K193" s="4">
        <f>IF(A193="","",COUNTIF(Courts!$A$2:$A$1001,A193))</f>
      </c>
      <c r="L193" s="4">
        <f>IF(A193="","",COUNTIFS(Courts!$A$2:$A$1001,A193,Courts!$F$2:$F$1001,"Yes"))</f>
      </c>
      <c r="M193" s="4">
        <f>IF(A193="","",IF(COUNTIF($A$2:$A$201,A193)&gt;1,"Duplicate venue code",IF(OR(B193="",C193="",D193="",E193="",G193="",H193="",I193="",J193=""),"Missing details",IF(OR(LEN(A193)&gt;40,LEN(B193)&gt;120,LEN(C193)&gt;240,LEN(D193)&gt;80,LEN(E193)&gt;80),"Text too long",IF(OR(NOT(ISNUMBER(G193)),NOT(ISNUMBER(H193))),"Pin must be two numbers",IF(OR(G193&lt;4,G193&gt;21.5,H193&lt;116,H193&gt;127),"Pin outside the Philippines",IF(J193="No","No permission: do not import",IF(J193&lt;&gt;"Yes","Waiting for permission",IF(AND(I193&lt;&gt;"Owner or manager",I193&lt;&gt;"Site visit"),"Confirm the pin",IF(K193=0,"Add its courts",IF(K193&gt;40,"Over 40 courts",IF(COUNTIFS(Courts!$A$2:$A$1001,A193,Courts!$G$2:$G$1001,"&lt;&gt;OK")&gt;0,"Fix its courts",IF(L193=0,"Needs an active court","Ready")))))))))))))</f>
      </c>
    </row>
    <row r="194">
      <c r="K194" s="4">
        <f>IF(A194="","",COUNTIF(Courts!$A$2:$A$1001,A194))</f>
      </c>
      <c r="L194" s="4">
        <f>IF(A194="","",COUNTIFS(Courts!$A$2:$A$1001,A194,Courts!$F$2:$F$1001,"Yes"))</f>
      </c>
      <c r="M194" s="4">
        <f>IF(A194="","",IF(COUNTIF($A$2:$A$201,A194)&gt;1,"Duplicate venue code",IF(OR(B194="",C194="",D194="",E194="",G194="",H194="",I194="",J194=""),"Missing details",IF(OR(LEN(A194)&gt;40,LEN(B194)&gt;120,LEN(C194)&gt;240,LEN(D194)&gt;80,LEN(E194)&gt;80),"Text too long",IF(OR(NOT(ISNUMBER(G194)),NOT(ISNUMBER(H194))),"Pin must be two numbers",IF(OR(G194&lt;4,G194&gt;21.5,H194&lt;116,H194&gt;127),"Pin outside the Philippines",IF(J194="No","No permission: do not import",IF(J194&lt;&gt;"Yes","Waiting for permission",IF(AND(I194&lt;&gt;"Owner or manager",I194&lt;&gt;"Site visit"),"Confirm the pin",IF(K194=0,"Add its courts",IF(K194&gt;40,"Over 40 courts",IF(COUNTIFS(Courts!$A$2:$A$1001,A194,Courts!$G$2:$G$1001,"&lt;&gt;OK")&gt;0,"Fix its courts",IF(L194=0,"Needs an active court","Ready")))))))))))))</f>
      </c>
    </row>
    <row r="195">
      <c r="K195" s="4">
        <f>IF(A195="","",COUNTIF(Courts!$A$2:$A$1001,A195))</f>
      </c>
      <c r="L195" s="4">
        <f>IF(A195="","",COUNTIFS(Courts!$A$2:$A$1001,A195,Courts!$F$2:$F$1001,"Yes"))</f>
      </c>
      <c r="M195" s="4">
        <f>IF(A195="","",IF(COUNTIF($A$2:$A$201,A195)&gt;1,"Duplicate venue code",IF(OR(B195="",C195="",D195="",E195="",G195="",H195="",I195="",J195=""),"Missing details",IF(OR(LEN(A195)&gt;40,LEN(B195)&gt;120,LEN(C195)&gt;240,LEN(D195)&gt;80,LEN(E195)&gt;80),"Text too long",IF(OR(NOT(ISNUMBER(G195)),NOT(ISNUMBER(H195))),"Pin must be two numbers",IF(OR(G195&lt;4,G195&gt;21.5,H195&lt;116,H195&gt;127),"Pin outside the Philippines",IF(J195="No","No permission: do not import",IF(J195&lt;&gt;"Yes","Waiting for permission",IF(AND(I195&lt;&gt;"Owner or manager",I195&lt;&gt;"Site visit"),"Confirm the pin",IF(K195=0,"Add its courts",IF(K195&gt;40,"Over 40 courts",IF(COUNTIFS(Courts!$A$2:$A$1001,A195,Courts!$G$2:$G$1001,"&lt;&gt;OK")&gt;0,"Fix its courts",IF(L195=0,"Needs an active court","Ready")))))))))))))</f>
      </c>
    </row>
    <row r="196">
      <c r="K196" s="4">
        <f>IF(A196="","",COUNTIF(Courts!$A$2:$A$1001,A196))</f>
      </c>
      <c r="L196" s="4">
        <f>IF(A196="","",COUNTIFS(Courts!$A$2:$A$1001,A196,Courts!$F$2:$F$1001,"Yes"))</f>
      </c>
      <c r="M196" s="4">
        <f>IF(A196="","",IF(COUNTIF($A$2:$A$201,A196)&gt;1,"Duplicate venue code",IF(OR(B196="",C196="",D196="",E196="",G196="",H196="",I196="",J196=""),"Missing details",IF(OR(LEN(A196)&gt;40,LEN(B196)&gt;120,LEN(C196)&gt;240,LEN(D196)&gt;80,LEN(E196)&gt;80),"Text too long",IF(OR(NOT(ISNUMBER(G196)),NOT(ISNUMBER(H196))),"Pin must be two numbers",IF(OR(G196&lt;4,G196&gt;21.5,H196&lt;116,H196&gt;127),"Pin outside the Philippines",IF(J196="No","No permission: do not import",IF(J196&lt;&gt;"Yes","Waiting for permission",IF(AND(I196&lt;&gt;"Owner or manager",I196&lt;&gt;"Site visit"),"Confirm the pin",IF(K196=0,"Add its courts",IF(K196&gt;40,"Over 40 courts",IF(COUNTIFS(Courts!$A$2:$A$1001,A196,Courts!$G$2:$G$1001,"&lt;&gt;OK")&gt;0,"Fix its courts",IF(L196=0,"Needs an active court","Ready")))))))))))))</f>
      </c>
    </row>
    <row r="197">
      <c r="K197" s="4">
        <f>IF(A197="","",COUNTIF(Courts!$A$2:$A$1001,A197))</f>
      </c>
      <c r="L197" s="4">
        <f>IF(A197="","",COUNTIFS(Courts!$A$2:$A$1001,A197,Courts!$F$2:$F$1001,"Yes"))</f>
      </c>
      <c r="M197" s="4">
        <f>IF(A197="","",IF(COUNTIF($A$2:$A$201,A197)&gt;1,"Duplicate venue code",IF(OR(B197="",C197="",D197="",E197="",G197="",H197="",I197="",J197=""),"Missing details",IF(OR(LEN(A197)&gt;40,LEN(B197)&gt;120,LEN(C197)&gt;240,LEN(D197)&gt;80,LEN(E197)&gt;80),"Text too long",IF(OR(NOT(ISNUMBER(G197)),NOT(ISNUMBER(H197))),"Pin must be two numbers",IF(OR(G197&lt;4,G197&gt;21.5,H197&lt;116,H197&gt;127),"Pin outside the Philippines",IF(J197="No","No permission: do not import",IF(J197&lt;&gt;"Yes","Waiting for permission",IF(AND(I197&lt;&gt;"Owner or manager",I197&lt;&gt;"Site visit"),"Confirm the pin",IF(K197=0,"Add its courts",IF(K197&gt;40,"Over 40 courts",IF(COUNTIFS(Courts!$A$2:$A$1001,A197,Courts!$G$2:$G$1001,"&lt;&gt;OK")&gt;0,"Fix its courts",IF(L197=0,"Needs an active court","Ready")))))))))))))</f>
      </c>
    </row>
    <row r="198">
      <c r="K198" s="4">
        <f>IF(A198="","",COUNTIF(Courts!$A$2:$A$1001,A198))</f>
      </c>
      <c r="L198" s="4">
        <f>IF(A198="","",COUNTIFS(Courts!$A$2:$A$1001,A198,Courts!$F$2:$F$1001,"Yes"))</f>
      </c>
      <c r="M198" s="4">
        <f>IF(A198="","",IF(COUNTIF($A$2:$A$201,A198)&gt;1,"Duplicate venue code",IF(OR(B198="",C198="",D198="",E198="",G198="",H198="",I198="",J198=""),"Missing details",IF(OR(LEN(A198)&gt;40,LEN(B198)&gt;120,LEN(C198)&gt;240,LEN(D198)&gt;80,LEN(E198)&gt;80),"Text too long",IF(OR(NOT(ISNUMBER(G198)),NOT(ISNUMBER(H198))),"Pin must be two numbers",IF(OR(G198&lt;4,G198&gt;21.5,H198&lt;116,H198&gt;127),"Pin outside the Philippines",IF(J198="No","No permission: do not import",IF(J198&lt;&gt;"Yes","Waiting for permission",IF(AND(I198&lt;&gt;"Owner or manager",I198&lt;&gt;"Site visit"),"Confirm the pin",IF(K198=0,"Add its courts",IF(K198&gt;40,"Over 40 courts",IF(COUNTIFS(Courts!$A$2:$A$1001,A198,Courts!$G$2:$G$1001,"&lt;&gt;OK")&gt;0,"Fix its courts",IF(L198=0,"Needs an active court","Ready")))))))))))))</f>
      </c>
    </row>
    <row r="199">
      <c r="K199" s="4">
        <f>IF(A199="","",COUNTIF(Courts!$A$2:$A$1001,A199))</f>
      </c>
      <c r="L199" s="4">
        <f>IF(A199="","",COUNTIFS(Courts!$A$2:$A$1001,A199,Courts!$F$2:$F$1001,"Yes"))</f>
      </c>
      <c r="M199" s="4">
        <f>IF(A199="","",IF(COUNTIF($A$2:$A$201,A199)&gt;1,"Duplicate venue code",IF(OR(B199="",C199="",D199="",E199="",G199="",H199="",I199="",J199=""),"Missing details",IF(OR(LEN(A199)&gt;40,LEN(B199)&gt;120,LEN(C199)&gt;240,LEN(D199)&gt;80,LEN(E199)&gt;80),"Text too long",IF(OR(NOT(ISNUMBER(G199)),NOT(ISNUMBER(H199))),"Pin must be two numbers",IF(OR(G199&lt;4,G199&gt;21.5,H199&lt;116,H199&gt;127),"Pin outside the Philippines",IF(J199="No","No permission: do not import",IF(J199&lt;&gt;"Yes","Waiting for permission",IF(AND(I199&lt;&gt;"Owner or manager",I199&lt;&gt;"Site visit"),"Confirm the pin",IF(K199=0,"Add its courts",IF(K199&gt;40,"Over 40 courts",IF(COUNTIFS(Courts!$A$2:$A$1001,A199,Courts!$G$2:$G$1001,"&lt;&gt;OK")&gt;0,"Fix its courts",IF(L199=0,"Needs an active court","Ready")))))))))))))</f>
      </c>
    </row>
    <row r="200">
      <c r="K200" s="4">
        <f>IF(A200="","",COUNTIF(Courts!$A$2:$A$1001,A200))</f>
      </c>
      <c r="L200" s="4">
        <f>IF(A200="","",COUNTIFS(Courts!$A$2:$A$1001,A200,Courts!$F$2:$F$1001,"Yes"))</f>
      </c>
      <c r="M200" s="4">
        <f>IF(A200="","",IF(COUNTIF($A$2:$A$201,A200)&gt;1,"Duplicate venue code",IF(OR(B200="",C200="",D200="",E200="",G200="",H200="",I200="",J200=""),"Missing details",IF(OR(LEN(A200)&gt;40,LEN(B200)&gt;120,LEN(C200)&gt;240,LEN(D200)&gt;80,LEN(E200)&gt;80),"Text too long",IF(OR(NOT(ISNUMBER(G200)),NOT(ISNUMBER(H200))),"Pin must be two numbers",IF(OR(G200&lt;4,G200&gt;21.5,H200&lt;116,H200&gt;127),"Pin outside the Philippines",IF(J200="No","No permission: do not import",IF(J200&lt;&gt;"Yes","Waiting for permission",IF(AND(I200&lt;&gt;"Owner or manager",I200&lt;&gt;"Site visit"),"Confirm the pin",IF(K200=0,"Add its courts",IF(K200&gt;40,"Over 40 courts",IF(COUNTIFS(Courts!$A$2:$A$1001,A200,Courts!$G$2:$G$1001,"&lt;&gt;OK")&gt;0,"Fix its courts",IF(L200=0,"Needs an active court","Ready")))))))))))))</f>
      </c>
    </row>
    <row r="201">
      <c r="K201" s="4">
        <f>IF(A201="","",COUNTIF(Courts!$A$2:$A$1001,A201))</f>
      </c>
      <c r="L201" s="4">
        <f>IF(A201="","",COUNTIFS(Courts!$A$2:$A$1001,A201,Courts!$F$2:$F$1001,"Yes"))</f>
      </c>
      <c r="M201" s="4">
        <f>IF(A201="","",IF(COUNTIF($A$2:$A$201,A201)&gt;1,"Duplicate venue code",IF(OR(B201="",C201="",D201="",E201="",G201="",H201="",I201="",J201=""),"Missing details",IF(OR(LEN(A201)&gt;40,LEN(B201)&gt;120,LEN(C201)&gt;240,LEN(D201)&gt;80,LEN(E201)&gt;80),"Text too long",IF(OR(NOT(ISNUMBER(G201)),NOT(ISNUMBER(H201))),"Pin must be two numbers",IF(OR(G201&lt;4,G201&gt;21.5,H201&lt;116,H201&gt;127),"Pin outside the Philippines",IF(J201="No","No permission: do not import",IF(J201&lt;&gt;"Yes","Waiting for permission",IF(AND(I201&lt;&gt;"Owner or manager",I201&lt;&gt;"Site visit"),"Confirm the pin",IF(K201=0,"Add its courts",IF(K201&gt;40,"Over 40 courts",IF(COUNTIFS(Courts!$A$2:$A$1001,A201,Courts!$G$2:$G$1001,"&lt;&gt;OK")&gt;0,"Fix its courts",IF(L201=0,"Needs an active court","Ready")))))))))))))</f>
      </c>
    </row>
  </sheetData>
  <conditionalFormatting sqref="M2:M201">
    <cfRule type="expression" dxfId="0" priority="1">
      <formula>$M2="Ready"</formula>
    </cfRule>
    <cfRule type="expression" dxfId="1" priority="2">
      <formula>AND($M2&lt;&gt;"",$M2&lt;&gt;"Ready")</formula>
    </cfRule>
  </conditionalFormatting>
  <dataValidations count="10">
    <dataValidation type="custom" allowBlank="1" showInputMessage="1" showErrorMessage="1" errorTitle="Check the code" error="Use a unique code of up to 40 characters with no spaces, such as NCR-001." promptTitle="Venue code" prompt="A short code you make up, such as NCR-001. Unique, no spaces. It becomes the permanent import reference, so never change or reuse it after import." sqref="A2:A201">
      <formula1>AND(LEN(A2)&lt;=40,ISERROR(FIND(" ",A2)),COUNTIF($A$2:$A$201,A2)=1)</formula1>
    </dataValidation>
    <dataValidation type="textLength" operator="between" allowBlank="1" showInputMessage="1" showErrorMessage="1" errorTitle="Too long" error="Use 1 to 120 characters." promptTitle="Venue name" prompt="As the venue wants it shown in the app. Up to 120 characters." sqref="B2:B201">
      <formula1>1</formula1>
      <formula2>120</formula2>
    </dataValidation>
    <dataValidation type="textLength" operator="between" allowBlank="1" showInputMessage="1" showErrorMessage="1" errorTitle="Too long" error="Use 1 to 240 characters." promptTitle="Street address" prompt="Street, building and barangay. Up to 240 characters." sqref="C2:C201">
      <formula1>1</formula1>
      <formula2>240</formula2>
    </dataValidation>
    <dataValidation type="textLength" operator="between" allowBlank="1" showInputMessage="1" showErrorMessage="1" errorTitle="Too long" error="Use 1 to 80 characters." promptTitle="City or municipality" prompt="Such as Pasig or Lapu-Lapu. Up to 80 characters." sqref="D2:D201">
      <formula1>1</formula1>
      <formula2>80</formula2>
    </dataValidation>
    <dataValidation type="textLength" operator="between" allowBlank="1" showInputMessage="1" showErrorMessage="1" errorTitle="Too long" error="Use 1 to 80 characters." promptTitle="Province" prompt="Such as Cebu or Davao del Sur. For Metro Manila, write Metro Manila." sqref="E2:E201">
      <formula1>1</formula1>
      <formula2>80</formula2>
    </dataValidation>
    <dataValidation type="list" allowBlank="1" showInputMessage="1" showErrorMessage="1" errorTitle="Not in the list" error="Choose a value from the list." promptTitle="Region" prompt="For planning the spread across the country. Not imported." sqref="F2:F201">
      <formula1>Lists!$A$2:$A$19</formula1>
    </dataValidation>
    <dataValidation type="decimal" operator="between" allowBlank="1" showInputMessage="1" showErrorMessage="1" errorTitle="Check the latitude" error="Latitude in the Philippines is between 4 and 21.5. It is the first of the two Google Maps numbers." promptTitle="Latitude" prompt="In Google Maps, press and hold on the courts (not the street), then copy the FIRST number shown, such as 14.554729." sqref="G2:G201">
      <formula1>4</formula1>
      <formula2>21.5</formula2>
    </dataValidation>
    <dataValidation type="decimal" operator="between" allowBlank="1" showInputMessage="1" showErrorMessage="1" errorTitle="Check the longitude" error="Longitude in the Philippines is between 116 and 127. It is the second of the two Google Maps numbers." promptTitle="Longitude" prompt="The SECOND number from Google Maps, such as 121.024445." sqref="H2:H201">
      <formula1>116</formula1>
      <formula2>127</formula2>
    </dataValidation>
    <dataValidation type="list" allowBlank="1" showInputMessage="1" showErrorMessage="1" errorTitle="Not in the list" error="Choose a value from the list." promptTitle="Pin checked by" prompt="Who confirmed the pin sits on the courts: the owner or manager, or you on a site visit. Choose Not yet until then." sqref="I2:I201">
      <formula1>Lists!$D$2:$D$4</formula1>
    </dataValidation>
    <dataValidation type="list" allowBlank="1" showInputMessage="1" showErrorMessage="1" errorTitle="Not in the list" error="Choose a value from the list." promptTitle="Permission to list" prompt="Yes only after the owner or manager agreed to the listing. Record who, when and how on the Permissions sheet." sqref="J2:J201">
      <formula1>Lists!$E$2:$E$4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5"/>
  <cols>
    <col min="1" max="1" width="14" style="2" customWidth="1"/>
    <col min="2" max="2" width="22" style="2" customWidth="1"/>
    <col min="3" max="3" width="14" customWidth="1"/>
    <col min="4" max="4" width="10" customWidth="1"/>
    <col min="5" max="5" width="11" customWidth="1"/>
    <col min="6" max="6" width="10" customWidth="1"/>
    <col min="7" max="7" width="24" style="4" customWidth="1"/>
    <col min="8" max="8" width="40" style="2" customWidth="1"/>
  </cols>
  <sheetData>
    <row r="1" ht="32" customHeight="1">
      <c r="A1" s="1" t="inlineStr">
        <is>
          <t xml:space="preserve">Venue code *</t>
        </is>
      </c>
      <c r="B1" s="1" t="inlineStr">
        <is>
          <t xml:space="preserve">Court name *</t>
        </is>
      </c>
      <c r="C1" s="1" t="inlineStr">
        <is>
          <t xml:space="preserve">Surface</t>
        </is>
      </c>
      <c r="D1" s="1" t="inlineStr">
        <is>
          <t xml:space="preserve">Indoor? *</t>
        </is>
      </c>
      <c r="E1" s="1" t="inlineStr">
        <is>
          <t xml:space="preserve">Covered? *</t>
        </is>
      </c>
      <c r="F1" s="1" t="inlineStr">
        <is>
          <t xml:space="preserve">Active? *</t>
        </is>
      </c>
      <c r="G1" s="9" t="inlineStr">
        <is>
          <t xml:space="preserve">Check (auto)</t>
        </is>
      </c>
      <c r="H1" s="1" t="inlineStr">
        <is>
          <t xml:space="preserve">Notes (not imported)</t>
        </is>
      </c>
    </row>
    <row r="2">
      <c r="G2" s="4">
        <f>IF(A2="","",IF(COUNTIF(Venues!$A$2:$A$201,A2)=0,"Unknown venue code",IF(OR(B2="",D2="",E2="",F2=""),"Missing details",IF(LEN(B2)&gt;80,"Name too long",IF(COUNTIFS($A$2:$A$1001,A2,$B$2:$B$1001,B2)&gt;1,"Duplicate court name",IF(AND(C2&lt;&gt;"",C2&lt;&gt;"Hard",C2&lt;&gt;"Synthetic",C2&lt;&gt;"Other",C2&lt;&gt;"Not sure"),"Unknown surface",IF(OR(AND(D2&lt;&gt;"Yes",D2&lt;&gt;"No"),AND(E2&lt;&gt;"Yes",E2&lt;&gt;"No"),AND(F2&lt;&gt;"Yes",F2&lt;&gt;"No")),"Use Yes or No","OK")))))))</f>
      </c>
    </row>
    <row r="3">
      <c r="G3" s="4">
        <f>IF(A3="","",IF(COUNTIF(Venues!$A$2:$A$201,A3)=0,"Unknown venue code",IF(OR(B3="",D3="",E3="",F3=""),"Missing details",IF(LEN(B3)&gt;80,"Name too long",IF(COUNTIFS($A$2:$A$1001,A3,$B$2:$B$1001,B3)&gt;1,"Duplicate court name",IF(AND(C3&lt;&gt;"",C3&lt;&gt;"Hard",C3&lt;&gt;"Synthetic",C3&lt;&gt;"Other",C3&lt;&gt;"Not sure"),"Unknown surface",IF(OR(AND(D3&lt;&gt;"Yes",D3&lt;&gt;"No"),AND(E3&lt;&gt;"Yes",E3&lt;&gt;"No"),AND(F3&lt;&gt;"Yes",F3&lt;&gt;"No")),"Use Yes or No","OK")))))))</f>
      </c>
    </row>
    <row r="4">
      <c r="G4" s="4">
        <f>IF(A4="","",IF(COUNTIF(Venues!$A$2:$A$201,A4)=0,"Unknown venue code",IF(OR(B4="",D4="",E4="",F4=""),"Missing details",IF(LEN(B4)&gt;80,"Name too long",IF(COUNTIFS($A$2:$A$1001,A4,$B$2:$B$1001,B4)&gt;1,"Duplicate court name",IF(AND(C4&lt;&gt;"",C4&lt;&gt;"Hard",C4&lt;&gt;"Synthetic",C4&lt;&gt;"Other",C4&lt;&gt;"Not sure"),"Unknown surface",IF(OR(AND(D4&lt;&gt;"Yes",D4&lt;&gt;"No"),AND(E4&lt;&gt;"Yes",E4&lt;&gt;"No"),AND(F4&lt;&gt;"Yes",F4&lt;&gt;"No")),"Use Yes or No","OK")))))))</f>
      </c>
    </row>
    <row r="5">
      <c r="G5" s="4">
        <f>IF(A5="","",IF(COUNTIF(Venues!$A$2:$A$201,A5)=0,"Unknown venue code",IF(OR(B5="",D5="",E5="",F5=""),"Missing details",IF(LEN(B5)&gt;80,"Name too long",IF(COUNTIFS($A$2:$A$1001,A5,$B$2:$B$1001,B5)&gt;1,"Duplicate court name",IF(AND(C5&lt;&gt;"",C5&lt;&gt;"Hard",C5&lt;&gt;"Synthetic",C5&lt;&gt;"Other",C5&lt;&gt;"Not sure"),"Unknown surface",IF(OR(AND(D5&lt;&gt;"Yes",D5&lt;&gt;"No"),AND(E5&lt;&gt;"Yes",E5&lt;&gt;"No"),AND(F5&lt;&gt;"Yes",F5&lt;&gt;"No")),"Use Yes or No","OK")))))))</f>
      </c>
    </row>
    <row r="6">
      <c r="G6" s="4">
        <f>IF(A6="","",IF(COUNTIF(Venues!$A$2:$A$201,A6)=0,"Unknown venue code",IF(OR(B6="",D6="",E6="",F6=""),"Missing details",IF(LEN(B6)&gt;80,"Name too long",IF(COUNTIFS($A$2:$A$1001,A6,$B$2:$B$1001,B6)&gt;1,"Duplicate court name",IF(AND(C6&lt;&gt;"",C6&lt;&gt;"Hard",C6&lt;&gt;"Synthetic",C6&lt;&gt;"Other",C6&lt;&gt;"Not sure"),"Unknown surface",IF(OR(AND(D6&lt;&gt;"Yes",D6&lt;&gt;"No"),AND(E6&lt;&gt;"Yes",E6&lt;&gt;"No"),AND(F6&lt;&gt;"Yes",F6&lt;&gt;"No")),"Use Yes or No","OK")))))))</f>
      </c>
    </row>
    <row r="7">
      <c r="G7" s="4">
        <f>IF(A7="","",IF(COUNTIF(Venues!$A$2:$A$201,A7)=0,"Unknown venue code",IF(OR(B7="",D7="",E7="",F7=""),"Missing details",IF(LEN(B7)&gt;80,"Name too long",IF(COUNTIFS($A$2:$A$1001,A7,$B$2:$B$1001,B7)&gt;1,"Duplicate court name",IF(AND(C7&lt;&gt;"",C7&lt;&gt;"Hard",C7&lt;&gt;"Synthetic",C7&lt;&gt;"Other",C7&lt;&gt;"Not sure"),"Unknown surface",IF(OR(AND(D7&lt;&gt;"Yes",D7&lt;&gt;"No"),AND(E7&lt;&gt;"Yes",E7&lt;&gt;"No"),AND(F7&lt;&gt;"Yes",F7&lt;&gt;"No")),"Use Yes or No","OK")))))))</f>
      </c>
    </row>
    <row r="8">
      <c r="G8" s="4">
        <f>IF(A8="","",IF(COUNTIF(Venues!$A$2:$A$201,A8)=0,"Unknown venue code",IF(OR(B8="",D8="",E8="",F8=""),"Missing details",IF(LEN(B8)&gt;80,"Name too long",IF(COUNTIFS($A$2:$A$1001,A8,$B$2:$B$1001,B8)&gt;1,"Duplicate court name",IF(AND(C8&lt;&gt;"",C8&lt;&gt;"Hard",C8&lt;&gt;"Synthetic",C8&lt;&gt;"Other",C8&lt;&gt;"Not sure"),"Unknown surface",IF(OR(AND(D8&lt;&gt;"Yes",D8&lt;&gt;"No"),AND(E8&lt;&gt;"Yes",E8&lt;&gt;"No"),AND(F8&lt;&gt;"Yes",F8&lt;&gt;"No")),"Use Yes or No","OK")))))))</f>
      </c>
    </row>
    <row r="9">
      <c r="G9" s="4">
        <f>IF(A9="","",IF(COUNTIF(Venues!$A$2:$A$201,A9)=0,"Unknown venue code",IF(OR(B9="",D9="",E9="",F9=""),"Missing details",IF(LEN(B9)&gt;80,"Name too long",IF(COUNTIFS($A$2:$A$1001,A9,$B$2:$B$1001,B9)&gt;1,"Duplicate court name",IF(AND(C9&lt;&gt;"",C9&lt;&gt;"Hard",C9&lt;&gt;"Synthetic",C9&lt;&gt;"Other",C9&lt;&gt;"Not sure"),"Unknown surface",IF(OR(AND(D9&lt;&gt;"Yes",D9&lt;&gt;"No"),AND(E9&lt;&gt;"Yes",E9&lt;&gt;"No"),AND(F9&lt;&gt;"Yes",F9&lt;&gt;"No")),"Use Yes or No","OK")))))))</f>
      </c>
    </row>
    <row r="10">
      <c r="G10" s="4">
        <f>IF(A10="","",IF(COUNTIF(Venues!$A$2:$A$201,A10)=0,"Unknown venue code",IF(OR(B10="",D10="",E10="",F10=""),"Missing details",IF(LEN(B10)&gt;80,"Name too long",IF(COUNTIFS($A$2:$A$1001,A10,$B$2:$B$1001,B10)&gt;1,"Duplicate court name",IF(AND(C10&lt;&gt;"",C10&lt;&gt;"Hard",C10&lt;&gt;"Synthetic",C10&lt;&gt;"Other",C10&lt;&gt;"Not sure"),"Unknown surface",IF(OR(AND(D10&lt;&gt;"Yes",D10&lt;&gt;"No"),AND(E10&lt;&gt;"Yes",E10&lt;&gt;"No"),AND(F10&lt;&gt;"Yes",F10&lt;&gt;"No")),"Use Yes or No","OK")))))))</f>
      </c>
    </row>
    <row r="11">
      <c r="G11" s="4">
        <f>IF(A11="","",IF(COUNTIF(Venues!$A$2:$A$201,A11)=0,"Unknown venue code",IF(OR(B11="",D11="",E11="",F11=""),"Missing details",IF(LEN(B11)&gt;80,"Name too long",IF(COUNTIFS($A$2:$A$1001,A11,$B$2:$B$1001,B11)&gt;1,"Duplicate court name",IF(AND(C11&lt;&gt;"",C11&lt;&gt;"Hard",C11&lt;&gt;"Synthetic",C11&lt;&gt;"Other",C11&lt;&gt;"Not sure"),"Unknown surface",IF(OR(AND(D11&lt;&gt;"Yes",D11&lt;&gt;"No"),AND(E11&lt;&gt;"Yes",E11&lt;&gt;"No"),AND(F11&lt;&gt;"Yes",F11&lt;&gt;"No")),"Use Yes or No","OK")))))))</f>
      </c>
    </row>
    <row r="12">
      <c r="G12" s="4">
        <f>IF(A12="","",IF(COUNTIF(Venues!$A$2:$A$201,A12)=0,"Unknown venue code",IF(OR(B12="",D12="",E12="",F12=""),"Missing details",IF(LEN(B12)&gt;80,"Name too long",IF(COUNTIFS($A$2:$A$1001,A12,$B$2:$B$1001,B12)&gt;1,"Duplicate court name",IF(AND(C12&lt;&gt;"",C12&lt;&gt;"Hard",C12&lt;&gt;"Synthetic",C12&lt;&gt;"Other",C12&lt;&gt;"Not sure"),"Unknown surface",IF(OR(AND(D12&lt;&gt;"Yes",D12&lt;&gt;"No"),AND(E12&lt;&gt;"Yes",E12&lt;&gt;"No"),AND(F12&lt;&gt;"Yes",F12&lt;&gt;"No")),"Use Yes or No","OK")))))))</f>
      </c>
    </row>
    <row r="13">
      <c r="G13" s="4">
        <f>IF(A13="","",IF(COUNTIF(Venues!$A$2:$A$201,A13)=0,"Unknown venue code",IF(OR(B13="",D13="",E13="",F13=""),"Missing details",IF(LEN(B13)&gt;80,"Name too long",IF(COUNTIFS($A$2:$A$1001,A13,$B$2:$B$1001,B13)&gt;1,"Duplicate court name",IF(AND(C13&lt;&gt;"",C13&lt;&gt;"Hard",C13&lt;&gt;"Synthetic",C13&lt;&gt;"Other",C13&lt;&gt;"Not sure"),"Unknown surface",IF(OR(AND(D13&lt;&gt;"Yes",D13&lt;&gt;"No"),AND(E13&lt;&gt;"Yes",E13&lt;&gt;"No"),AND(F13&lt;&gt;"Yes",F13&lt;&gt;"No")),"Use Yes or No","OK")))))))</f>
      </c>
    </row>
    <row r="14">
      <c r="G14" s="4">
        <f>IF(A14="","",IF(COUNTIF(Venues!$A$2:$A$201,A14)=0,"Unknown venue code",IF(OR(B14="",D14="",E14="",F14=""),"Missing details",IF(LEN(B14)&gt;80,"Name too long",IF(COUNTIFS($A$2:$A$1001,A14,$B$2:$B$1001,B14)&gt;1,"Duplicate court name",IF(AND(C14&lt;&gt;"",C14&lt;&gt;"Hard",C14&lt;&gt;"Synthetic",C14&lt;&gt;"Other",C14&lt;&gt;"Not sure"),"Unknown surface",IF(OR(AND(D14&lt;&gt;"Yes",D14&lt;&gt;"No"),AND(E14&lt;&gt;"Yes",E14&lt;&gt;"No"),AND(F14&lt;&gt;"Yes",F14&lt;&gt;"No")),"Use Yes or No","OK")))))))</f>
      </c>
    </row>
    <row r="15">
      <c r="G15" s="4">
        <f>IF(A15="","",IF(COUNTIF(Venues!$A$2:$A$201,A15)=0,"Unknown venue code",IF(OR(B15="",D15="",E15="",F15=""),"Missing details",IF(LEN(B15)&gt;80,"Name too long",IF(COUNTIFS($A$2:$A$1001,A15,$B$2:$B$1001,B15)&gt;1,"Duplicate court name",IF(AND(C15&lt;&gt;"",C15&lt;&gt;"Hard",C15&lt;&gt;"Synthetic",C15&lt;&gt;"Other",C15&lt;&gt;"Not sure"),"Unknown surface",IF(OR(AND(D15&lt;&gt;"Yes",D15&lt;&gt;"No"),AND(E15&lt;&gt;"Yes",E15&lt;&gt;"No"),AND(F15&lt;&gt;"Yes",F15&lt;&gt;"No")),"Use Yes or No","OK")))))))</f>
      </c>
    </row>
    <row r="16">
      <c r="G16" s="4">
        <f>IF(A16="","",IF(COUNTIF(Venues!$A$2:$A$201,A16)=0,"Unknown venue code",IF(OR(B16="",D16="",E16="",F16=""),"Missing details",IF(LEN(B16)&gt;80,"Name too long",IF(COUNTIFS($A$2:$A$1001,A16,$B$2:$B$1001,B16)&gt;1,"Duplicate court name",IF(AND(C16&lt;&gt;"",C16&lt;&gt;"Hard",C16&lt;&gt;"Synthetic",C16&lt;&gt;"Other",C16&lt;&gt;"Not sure"),"Unknown surface",IF(OR(AND(D16&lt;&gt;"Yes",D16&lt;&gt;"No"),AND(E16&lt;&gt;"Yes",E16&lt;&gt;"No"),AND(F16&lt;&gt;"Yes",F16&lt;&gt;"No")),"Use Yes or No","OK")))))))</f>
      </c>
    </row>
    <row r="17">
      <c r="G17" s="4">
        <f>IF(A17="","",IF(COUNTIF(Venues!$A$2:$A$201,A17)=0,"Unknown venue code",IF(OR(B17="",D17="",E17="",F17=""),"Missing details",IF(LEN(B17)&gt;80,"Name too long",IF(COUNTIFS($A$2:$A$1001,A17,$B$2:$B$1001,B17)&gt;1,"Duplicate court name",IF(AND(C17&lt;&gt;"",C17&lt;&gt;"Hard",C17&lt;&gt;"Synthetic",C17&lt;&gt;"Other",C17&lt;&gt;"Not sure"),"Unknown surface",IF(OR(AND(D17&lt;&gt;"Yes",D17&lt;&gt;"No"),AND(E17&lt;&gt;"Yes",E17&lt;&gt;"No"),AND(F17&lt;&gt;"Yes",F17&lt;&gt;"No")),"Use Yes or No","OK")))))))</f>
      </c>
    </row>
    <row r="18">
      <c r="G18" s="4">
        <f>IF(A18="","",IF(COUNTIF(Venues!$A$2:$A$201,A18)=0,"Unknown venue code",IF(OR(B18="",D18="",E18="",F18=""),"Missing details",IF(LEN(B18)&gt;80,"Name too long",IF(COUNTIFS($A$2:$A$1001,A18,$B$2:$B$1001,B18)&gt;1,"Duplicate court name",IF(AND(C18&lt;&gt;"",C18&lt;&gt;"Hard",C18&lt;&gt;"Synthetic",C18&lt;&gt;"Other",C18&lt;&gt;"Not sure"),"Unknown surface",IF(OR(AND(D18&lt;&gt;"Yes",D18&lt;&gt;"No"),AND(E18&lt;&gt;"Yes",E18&lt;&gt;"No"),AND(F18&lt;&gt;"Yes",F18&lt;&gt;"No")),"Use Yes or No","OK")))))))</f>
      </c>
    </row>
    <row r="19">
      <c r="G19" s="4">
        <f>IF(A19="","",IF(COUNTIF(Venues!$A$2:$A$201,A19)=0,"Unknown venue code",IF(OR(B19="",D19="",E19="",F19=""),"Missing details",IF(LEN(B19)&gt;80,"Name too long",IF(COUNTIFS($A$2:$A$1001,A19,$B$2:$B$1001,B19)&gt;1,"Duplicate court name",IF(AND(C19&lt;&gt;"",C19&lt;&gt;"Hard",C19&lt;&gt;"Synthetic",C19&lt;&gt;"Other",C19&lt;&gt;"Not sure"),"Unknown surface",IF(OR(AND(D19&lt;&gt;"Yes",D19&lt;&gt;"No"),AND(E19&lt;&gt;"Yes",E19&lt;&gt;"No"),AND(F19&lt;&gt;"Yes",F19&lt;&gt;"No")),"Use Yes or No","OK")))))))</f>
      </c>
    </row>
    <row r="20">
      <c r="G20" s="4">
        <f>IF(A20="","",IF(COUNTIF(Venues!$A$2:$A$201,A20)=0,"Unknown venue code",IF(OR(B20="",D20="",E20="",F20=""),"Missing details",IF(LEN(B20)&gt;80,"Name too long",IF(COUNTIFS($A$2:$A$1001,A20,$B$2:$B$1001,B20)&gt;1,"Duplicate court name",IF(AND(C20&lt;&gt;"",C20&lt;&gt;"Hard",C20&lt;&gt;"Synthetic",C20&lt;&gt;"Other",C20&lt;&gt;"Not sure"),"Unknown surface",IF(OR(AND(D20&lt;&gt;"Yes",D20&lt;&gt;"No"),AND(E20&lt;&gt;"Yes",E20&lt;&gt;"No"),AND(F20&lt;&gt;"Yes",F20&lt;&gt;"No")),"Use Yes or No","OK")))))))</f>
      </c>
    </row>
    <row r="21">
      <c r="G21" s="4">
        <f>IF(A21="","",IF(COUNTIF(Venues!$A$2:$A$201,A21)=0,"Unknown venue code",IF(OR(B21="",D21="",E21="",F21=""),"Missing details",IF(LEN(B21)&gt;80,"Name too long",IF(COUNTIFS($A$2:$A$1001,A21,$B$2:$B$1001,B21)&gt;1,"Duplicate court name",IF(AND(C21&lt;&gt;"",C21&lt;&gt;"Hard",C21&lt;&gt;"Synthetic",C21&lt;&gt;"Other",C21&lt;&gt;"Not sure"),"Unknown surface",IF(OR(AND(D21&lt;&gt;"Yes",D21&lt;&gt;"No"),AND(E21&lt;&gt;"Yes",E21&lt;&gt;"No"),AND(F21&lt;&gt;"Yes",F21&lt;&gt;"No")),"Use Yes or No","OK")))))))</f>
      </c>
    </row>
    <row r="22">
      <c r="G22" s="4">
        <f>IF(A22="","",IF(COUNTIF(Venues!$A$2:$A$201,A22)=0,"Unknown venue code",IF(OR(B22="",D22="",E22="",F22=""),"Missing details",IF(LEN(B22)&gt;80,"Name too long",IF(COUNTIFS($A$2:$A$1001,A22,$B$2:$B$1001,B22)&gt;1,"Duplicate court name",IF(AND(C22&lt;&gt;"",C22&lt;&gt;"Hard",C22&lt;&gt;"Synthetic",C22&lt;&gt;"Other",C22&lt;&gt;"Not sure"),"Unknown surface",IF(OR(AND(D22&lt;&gt;"Yes",D22&lt;&gt;"No"),AND(E22&lt;&gt;"Yes",E22&lt;&gt;"No"),AND(F22&lt;&gt;"Yes",F22&lt;&gt;"No")),"Use Yes or No","OK")))))))</f>
      </c>
    </row>
    <row r="23">
      <c r="G23" s="4">
        <f>IF(A23="","",IF(COUNTIF(Venues!$A$2:$A$201,A23)=0,"Unknown venue code",IF(OR(B23="",D23="",E23="",F23=""),"Missing details",IF(LEN(B23)&gt;80,"Name too long",IF(COUNTIFS($A$2:$A$1001,A23,$B$2:$B$1001,B23)&gt;1,"Duplicate court name",IF(AND(C23&lt;&gt;"",C23&lt;&gt;"Hard",C23&lt;&gt;"Synthetic",C23&lt;&gt;"Other",C23&lt;&gt;"Not sure"),"Unknown surface",IF(OR(AND(D23&lt;&gt;"Yes",D23&lt;&gt;"No"),AND(E23&lt;&gt;"Yes",E23&lt;&gt;"No"),AND(F23&lt;&gt;"Yes",F23&lt;&gt;"No")),"Use Yes or No","OK")))))))</f>
      </c>
    </row>
    <row r="24">
      <c r="G24" s="4">
        <f>IF(A24="","",IF(COUNTIF(Venues!$A$2:$A$201,A24)=0,"Unknown venue code",IF(OR(B24="",D24="",E24="",F24=""),"Missing details",IF(LEN(B24)&gt;80,"Name too long",IF(COUNTIFS($A$2:$A$1001,A24,$B$2:$B$1001,B24)&gt;1,"Duplicate court name",IF(AND(C24&lt;&gt;"",C24&lt;&gt;"Hard",C24&lt;&gt;"Synthetic",C24&lt;&gt;"Other",C24&lt;&gt;"Not sure"),"Unknown surface",IF(OR(AND(D24&lt;&gt;"Yes",D24&lt;&gt;"No"),AND(E24&lt;&gt;"Yes",E24&lt;&gt;"No"),AND(F24&lt;&gt;"Yes",F24&lt;&gt;"No")),"Use Yes or No","OK")))))))</f>
      </c>
    </row>
    <row r="25">
      <c r="G25" s="4">
        <f>IF(A25="","",IF(COUNTIF(Venues!$A$2:$A$201,A25)=0,"Unknown venue code",IF(OR(B25="",D25="",E25="",F25=""),"Missing details",IF(LEN(B25)&gt;80,"Name too long",IF(COUNTIFS($A$2:$A$1001,A25,$B$2:$B$1001,B25)&gt;1,"Duplicate court name",IF(AND(C25&lt;&gt;"",C25&lt;&gt;"Hard",C25&lt;&gt;"Synthetic",C25&lt;&gt;"Other",C25&lt;&gt;"Not sure"),"Unknown surface",IF(OR(AND(D25&lt;&gt;"Yes",D25&lt;&gt;"No"),AND(E25&lt;&gt;"Yes",E25&lt;&gt;"No"),AND(F25&lt;&gt;"Yes",F25&lt;&gt;"No")),"Use Yes or No","OK")))))))</f>
      </c>
    </row>
    <row r="26">
      <c r="G26" s="4">
        <f>IF(A26="","",IF(COUNTIF(Venues!$A$2:$A$201,A26)=0,"Unknown venue code",IF(OR(B26="",D26="",E26="",F26=""),"Missing details",IF(LEN(B26)&gt;80,"Name too long",IF(COUNTIFS($A$2:$A$1001,A26,$B$2:$B$1001,B26)&gt;1,"Duplicate court name",IF(AND(C26&lt;&gt;"",C26&lt;&gt;"Hard",C26&lt;&gt;"Synthetic",C26&lt;&gt;"Other",C26&lt;&gt;"Not sure"),"Unknown surface",IF(OR(AND(D26&lt;&gt;"Yes",D26&lt;&gt;"No"),AND(E26&lt;&gt;"Yes",E26&lt;&gt;"No"),AND(F26&lt;&gt;"Yes",F26&lt;&gt;"No")),"Use Yes or No","OK")))))))</f>
      </c>
    </row>
    <row r="27">
      <c r="G27" s="4">
        <f>IF(A27="","",IF(COUNTIF(Venues!$A$2:$A$201,A27)=0,"Unknown venue code",IF(OR(B27="",D27="",E27="",F27=""),"Missing details",IF(LEN(B27)&gt;80,"Name too long",IF(COUNTIFS($A$2:$A$1001,A27,$B$2:$B$1001,B27)&gt;1,"Duplicate court name",IF(AND(C27&lt;&gt;"",C27&lt;&gt;"Hard",C27&lt;&gt;"Synthetic",C27&lt;&gt;"Other",C27&lt;&gt;"Not sure"),"Unknown surface",IF(OR(AND(D27&lt;&gt;"Yes",D27&lt;&gt;"No"),AND(E27&lt;&gt;"Yes",E27&lt;&gt;"No"),AND(F27&lt;&gt;"Yes",F27&lt;&gt;"No")),"Use Yes or No","OK")))))))</f>
      </c>
    </row>
    <row r="28">
      <c r="G28" s="4">
        <f>IF(A28="","",IF(COUNTIF(Venues!$A$2:$A$201,A28)=0,"Unknown venue code",IF(OR(B28="",D28="",E28="",F28=""),"Missing details",IF(LEN(B28)&gt;80,"Name too long",IF(COUNTIFS($A$2:$A$1001,A28,$B$2:$B$1001,B28)&gt;1,"Duplicate court name",IF(AND(C28&lt;&gt;"",C28&lt;&gt;"Hard",C28&lt;&gt;"Synthetic",C28&lt;&gt;"Other",C28&lt;&gt;"Not sure"),"Unknown surface",IF(OR(AND(D28&lt;&gt;"Yes",D28&lt;&gt;"No"),AND(E28&lt;&gt;"Yes",E28&lt;&gt;"No"),AND(F28&lt;&gt;"Yes",F28&lt;&gt;"No")),"Use Yes or No","OK")))))))</f>
      </c>
    </row>
    <row r="29">
      <c r="G29" s="4">
        <f>IF(A29="","",IF(COUNTIF(Venues!$A$2:$A$201,A29)=0,"Unknown venue code",IF(OR(B29="",D29="",E29="",F29=""),"Missing details",IF(LEN(B29)&gt;80,"Name too long",IF(COUNTIFS($A$2:$A$1001,A29,$B$2:$B$1001,B29)&gt;1,"Duplicate court name",IF(AND(C29&lt;&gt;"",C29&lt;&gt;"Hard",C29&lt;&gt;"Synthetic",C29&lt;&gt;"Other",C29&lt;&gt;"Not sure"),"Unknown surface",IF(OR(AND(D29&lt;&gt;"Yes",D29&lt;&gt;"No"),AND(E29&lt;&gt;"Yes",E29&lt;&gt;"No"),AND(F29&lt;&gt;"Yes",F29&lt;&gt;"No")),"Use Yes or No","OK")))))))</f>
      </c>
    </row>
    <row r="30">
      <c r="G30" s="4">
        <f>IF(A30="","",IF(COUNTIF(Venues!$A$2:$A$201,A30)=0,"Unknown venue code",IF(OR(B30="",D30="",E30="",F30=""),"Missing details",IF(LEN(B30)&gt;80,"Name too long",IF(COUNTIFS($A$2:$A$1001,A30,$B$2:$B$1001,B30)&gt;1,"Duplicate court name",IF(AND(C30&lt;&gt;"",C30&lt;&gt;"Hard",C30&lt;&gt;"Synthetic",C30&lt;&gt;"Other",C30&lt;&gt;"Not sure"),"Unknown surface",IF(OR(AND(D30&lt;&gt;"Yes",D30&lt;&gt;"No"),AND(E30&lt;&gt;"Yes",E30&lt;&gt;"No"),AND(F30&lt;&gt;"Yes",F30&lt;&gt;"No")),"Use Yes or No","OK")))))))</f>
      </c>
    </row>
    <row r="31">
      <c r="G31" s="4">
        <f>IF(A31="","",IF(COUNTIF(Venues!$A$2:$A$201,A31)=0,"Unknown venue code",IF(OR(B31="",D31="",E31="",F31=""),"Missing details",IF(LEN(B31)&gt;80,"Name too long",IF(COUNTIFS($A$2:$A$1001,A31,$B$2:$B$1001,B31)&gt;1,"Duplicate court name",IF(AND(C31&lt;&gt;"",C31&lt;&gt;"Hard",C31&lt;&gt;"Synthetic",C31&lt;&gt;"Other",C31&lt;&gt;"Not sure"),"Unknown surface",IF(OR(AND(D31&lt;&gt;"Yes",D31&lt;&gt;"No"),AND(E31&lt;&gt;"Yes",E31&lt;&gt;"No"),AND(F31&lt;&gt;"Yes",F31&lt;&gt;"No")),"Use Yes or No","OK")))))))</f>
      </c>
    </row>
    <row r="32">
      <c r="G32" s="4">
        <f>IF(A32="","",IF(COUNTIF(Venues!$A$2:$A$201,A32)=0,"Unknown venue code",IF(OR(B32="",D32="",E32="",F32=""),"Missing details",IF(LEN(B32)&gt;80,"Name too long",IF(COUNTIFS($A$2:$A$1001,A32,$B$2:$B$1001,B32)&gt;1,"Duplicate court name",IF(AND(C32&lt;&gt;"",C32&lt;&gt;"Hard",C32&lt;&gt;"Synthetic",C32&lt;&gt;"Other",C32&lt;&gt;"Not sure"),"Unknown surface",IF(OR(AND(D32&lt;&gt;"Yes",D32&lt;&gt;"No"),AND(E32&lt;&gt;"Yes",E32&lt;&gt;"No"),AND(F32&lt;&gt;"Yes",F32&lt;&gt;"No")),"Use Yes or No","OK")))))))</f>
      </c>
    </row>
    <row r="33">
      <c r="G33" s="4">
        <f>IF(A33="","",IF(COUNTIF(Venues!$A$2:$A$201,A33)=0,"Unknown venue code",IF(OR(B33="",D33="",E33="",F33=""),"Missing details",IF(LEN(B33)&gt;80,"Name too long",IF(COUNTIFS($A$2:$A$1001,A33,$B$2:$B$1001,B33)&gt;1,"Duplicate court name",IF(AND(C33&lt;&gt;"",C33&lt;&gt;"Hard",C33&lt;&gt;"Synthetic",C33&lt;&gt;"Other",C33&lt;&gt;"Not sure"),"Unknown surface",IF(OR(AND(D33&lt;&gt;"Yes",D33&lt;&gt;"No"),AND(E33&lt;&gt;"Yes",E33&lt;&gt;"No"),AND(F33&lt;&gt;"Yes",F33&lt;&gt;"No")),"Use Yes or No","OK")))))))</f>
      </c>
    </row>
    <row r="34">
      <c r="G34" s="4">
        <f>IF(A34="","",IF(COUNTIF(Venues!$A$2:$A$201,A34)=0,"Unknown venue code",IF(OR(B34="",D34="",E34="",F34=""),"Missing details",IF(LEN(B34)&gt;80,"Name too long",IF(COUNTIFS($A$2:$A$1001,A34,$B$2:$B$1001,B34)&gt;1,"Duplicate court name",IF(AND(C34&lt;&gt;"",C34&lt;&gt;"Hard",C34&lt;&gt;"Synthetic",C34&lt;&gt;"Other",C34&lt;&gt;"Not sure"),"Unknown surface",IF(OR(AND(D34&lt;&gt;"Yes",D34&lt;&gt;"No"),AND(E34&lt;&gt;"Yes",E34&lt;&gt;"No"),AND(F34&lt;&gt;"Yes",F34&lt;&gt;"No")),"Use Yes or No","OK")))))))</f>
      </c>
    </row>
    <row r="35">
      <c r="G35" s="4">
        <f>IF(A35="","",IF(COUNTIF(Venues!$A$2:$A$201,A35)=0,"Unknown venue code",IF(OR(B35="",D35="",E35="",F35=""),"Missing details",IF(LEN(B35)&gt;80,"Name too long",IF(COUNTIFS($A$2:$A$1001,A35,$B$2:$B$1001,B35)&gt;1,"Duplicate court name",IF(AND(C35&lt;&gt;"",C35&lt;&gt;"Hard",C35&lt;&gt;"Synthetic",C35&lt;&gt;"Other",C35&lt;&gt;"Not sure"),"Unknown surface",IF(OR(AND(D35&lt;&gt;"Yes",D35&lt;&gt;"No"),AND(E35&lt;&gt;"Yes",E35&lt;&gt;"No"),AND(F35&lt;&gt;"Yes",F35&lt;&gt;"No")),"Use Yes or No","OK")))))))</f>
      </c>
    </row>
    <row r="36">
      <c r="G36" s="4">
        <f>IF(A36="","",IF(COUNTIF(Venues!$A$2:$A$201,A36)=0,"Unknown venue code",IF(OR(B36="",D36="",E36="",F36=""),"Missing details",IF(LEN(B36)&gt;80,"Name too long",IF(COUNTIFS($A$2:$A$1001,A36,$B$2:$B$1001,B36)&gt;1,"Duplicate court name",IF(AND(C36&lt;&gt;"",C36&lt;&gt;"Hard",C36&lt;&gt;"Synthetic",C36&lt;&gt;"Other",C36&lt;&gt;"Not sure"),"Unknown surface",IF(OR(AND(D36&lt;&gt;"Yes",D36&lt;&gt;"No"),AND(E36&lt;&gt;"Yes",E36&lt;&gt;"No"),AND(F36&lt;&gt;"Yes",F36&lt;&gt;"No")),"Use Yes or No","OK")))))))</f>
      </c>
    </row>
    <row r="37">
      <c r="G37" s="4">
        <f>IF(A37="","",IF(COUNTIF(Venues!$A$2:$A$201,A37)=0,"Unknown venue code",IF(OR(B37="",D37="",E37="",F37=""),"Missing details",IF(LEN(B37)&gt;80,"Name too long",IF(COUNTIFS($A$2:$A$1001,A37,$B$2:$B$1001,B37)&gt;1,"Duplicate court name",IF(AND(C37&lt;&gt;"",C37&lt;&gt;"Hard",C37&lt;&gt;"Synthetic",C37&lt;&gt;"Other",C37&lt;&gt;"Not sure"),"Unknown surface",IF(OR(AND(D37&lt;&gt;"Yes",D37&lt;&gt;"No"),AND(E37&lt;&gt;"Yes",E37&lt;&gt;"No"),AND(F37&lt;&gt;"Yes",F37&lt;&gt;"No")),"Use Yes or No","OK")))))))</f>
      </c>
    </row>
    <row r="38">
      <c r="G38" s="4">
        <f>IF(A38="","",IF(COUNTIF(Venues!$A$2:$A$201,A38)=0,"Unknown venue code",IF(OR(B38="",D38="",E38="",F38=""),"Missing details",IF(LEN(B38)&gt;80,"Name too long",IF(COUNTIFS($A$2:$A$1001,A38,$B$2:$B$1001,B38)&gt;1,"Duplicate court name",IF(AND(C38&lt;&gt;"",C38&lt;&gt;"Hard",C38&lt;&gt;"Synthetic",C38&lt;&gt;"Other",C38&lt;&gt;"Not sure"),"Unknown surface",IF(OR(AND(D38&lt;&gt;"Yes",D38&lt;&gt;"No"),AND(E38&lt;&gt;"Yes",E38&lt;&gt;"No"),AND(F38&lt;&gt;"Yes",F38&lt;&gt;"No")),"Use Yes or No","OK")))))))</f>
      </c>
    </row>
    <row r="39">
      <c r="G39" s="4">
        <f>IF(A39="","",IF(COUNTIF(Venues!$A$2:$A$201,A39)=0,"Unknown venue code",IF(OR(B39="",D39="",E39="",F39=""),"Missing details",IF(LEN(B39)&gt;80,"Name too long",IF(COUNTIFS($A$2:$A$1001,A39,$B$2:$B$1001,B39)&gt;1,"Duplicate court name",IF(AND(C39&lt;&gt;"",C39&lt;&gt;"Hard",C39&lt;&gt;"Synthetic",C39&lt;&gt;"Other",C39&lt;&gt;"Not sure"),"Unknown surface",IF(OR(AND(D39&lt;&gt;"Yes",D39&lt;&gt;"No"),AND(E39&lt;&gt;"Yes",E39&lt;&gt;"No"),AND(F39&lt;&gt;"Yes",F39&lt;&gt;"No")),"Use Yes or No","OK")))))))</f>
      </c>
    </row>
    <row r="40">
      <c r="G40" s="4">
        <f>IF(A40="","",IF(COUNTIF(Venues!$A$2:$A$201,A40)=0,"Unknown venue code",IF(OR(B40="",D40="",E40="",F40=""),"Missing details",IF(LEN(B40)&gt;80,"Name too long",IF(COUNTIFS($A$2:$A$1001,A40,$B$2:$B$1001,B40)&gt;1,"Duplicate court name",IF(AND(C40&lt;&gt;"",C40&lt;&gt;"Hard",C40&lt;&gt;"Synthetic",C40&lt;&gt;"Other",C40&lt;&gt;"Not sure"),"Unknown surface",IF(OR(AND(D40&lt;&gt;"Yes",D40&lt;&gt;"No"),AND(E40&lt;&gt;"Yes",E40&lt;&gt;"No"),AND(F40&lt;&gt;"Yes",F40&lt;&gt;"No")),"Use Yes or No","OK")))))))</f>
      </c>
    </row>
    <row r="41">
      <c r="G41" s="4">
        <f>IF(A41="","",IF(COUNTIF(Venues!$A$2:$A$201,A41)=0,"Unknown venue code",IF(OR(B41="",D41="",E41="",F41=""),"Missing details",IF(LEN(B41)&gt;80,"Name too long",IF(COUNTIFS($A$2:$A$1001,A41,$B$2:$B$1001,B41)&gt;1,"Duplicate court name",IF(AND(C41&lt;&gt;"",C41&lt;&gt;"Hard",C41&lt;&gt;"Synthetic",C41&lt;&gt;"Other",C41&lt;&gt;"Not sure"),"Unknown surface",IF(OR(AND(D41&lt;&gt;"Yes",D41&lt;&gt;"No"),AND(E41&lt;&gt;"Yes",E41&lt;&gt;"No"),AND(F41&lt;&gt;"Yes",F41&lt;&gt;"No")),"Use Yes or No","OK")))))))</f>
      </c>
    </row>
    <row r="42">
      <c r="G42" s="4">
        <f>IF(A42="","",IF(COUNTIF(Venues!$A$2:$A$201,A42)=0,"Unknown venue code",IF(OR(B42="",D42="",E42="",F42=""),"Missing details",IF(LEN(B42)&gt;80,"Name too long",IF(COUNTIFS($A$2:$A$1001,A42,$B$2:$B$1001,B42)&gt;1,"Duplicate court name",IF(AND(C42&lt;&gt;"",C42&lt;&gt;"Hard",C42&lt;&gt;"Synthetic",C42&lt;&gt;"Other",C42&lt;&gt;"Not sure"),"Unknown surface",IF(OR(AND(D42&lt;&gt;"Yes",D42&lt;&gt;"No"),AND(E42&lt;&gt;"Yes",E42&lt;&gt;"No"),AND(F42&lt;&gt;"Yes",F42&lt;&gt;"No")),"Use Yes or No","OK")))))))</f>
      </c>
    </row>
    <row r="43">
      <c r="G43" s="4">
        <f>IF(A43="","",IF(COUNTIF(Venues!$A$2:$A$201,A43)=0,"Unknown venue code",IF(OR(B43="",D43="",E43="",F43=""),"Missing details",IF(LEN(B43)&gt;80,"Name too long",IF(COUNTIFS($A$2:$A$1001,A43,$B$2:$B$1001,B43)&gt;1,"Duplicate court name",IF(AND(C43&lt;&gt;"",C43&lt;&gt;"Hard",C43&lt;&gt;"Synthetic",C43&lt;&gt;"Other",C43&lt;&gt;"Not sure"),"Unknown surface",IF(OR(AND(D43&lt;&gt;"Yes",D43&lt;&gt;"No"),AND(E43&lt;&gt;"Yes",E43&lt;&gt;"No"),AND(F43&lt;&gt;"Yes",F43&lt;&gt;"No")),"Use Yes or No","OK")))))))</f>
      </c>
    </row>
    <row r="44">
      <c r="G44" s="4">
        <f>IF(A44="","",IF(COUNTIF(Venues!$A$2:$A$201,A44)=0,"Unknown venue code",IF(OR(B44="",D44="",E44="",F44=""),"Missing details",IF(LEN(B44)&gt;80,"Name too long",IF(COUNTIFS($A$2:$A$1001,A44,$B$2:$B$1001,B44)&gt;1,"Duplicate court name",IF(AND(C44&lt;&gt;"",C44&lt;&gt;"Hard",C44&lt;&gt;"Synthetic",C44&lt;&gt;"Other",C44&lt;&gt;"Not sure"),"Unknown surface",IF(OR(AND(D44&lt;&gt;"Yes",D44&lt;&gt;"No"),AND(E44&lt;&gt;"Yes",E44&lt;&gt;"No"),AND(F44&lt;&gt;"Yes",F44&lt;&gt;"No")),"Use Yes or No","OK")))))))</f>
      </c>
    </row>
    <row r="45">
      <c r="G45" s="4">
        <f>IF(A45="","",IF(COUNTIF(Venues!$A$2:$A$201,A45)=0,"Unknown venue code",IF(OR(B45="",D45="",E45="",F45=""),"Missing details",IF(LEN(B45)&gt;80,"Name too long",IF(COUNTIFS($A$2:$A$1001,A45,$B$2:$B$1001,B45)&gt;1,"Duplicate court name",IF(AND(C45&lt;&gt;"",C45&lt;&gt;"Hard",C45&lt;&gt;"Synthetic",C45&lt;&gt;"Other",C45&lt;&gt;"Not sure"),"Unknown surface",IF(OR(AND(D45&lt;&gt;"Yes",D45&lt;&gt;"No"),AND(E45&lt;&gt;"Yes",E45&lt;&gt;"No"),AND(F45&lt;&gt;"Yes",F45&lt;&gt;"No")),"Use Yes or No","OK")))))))</f>
      </c>
    </row>
    <row r="46">
      <c r="G46" s="4">
        <f>IF(A46="","",IF(COUNTIF(Venues!$A$2:$A$201,A46)=0,"Unknown venue code",IF(OR(B46="",D46="",E46="",F46=""),"Missing details",IF(LEN(B46)&gt;80,"Name too long",IF(COUNTIFS($A$2:$A$1001,A46,$B$2:$B$1001,B46)&gt;1,"Duplicate court name",IF(AND(C46&lt;&gt;"",C46&lt;&gt;"Hard",C46&lt;&gt;"Synthetic",C46&lt;&gt;"Other",C46&lt;&gt;"Not sure"),"Unknown surface",IF(OR(AND(D46&lt;&gt;"Yes",D46&lt;&gt;"No"),AND(E46&lt;&gt;"Yes",E46&lt;&gt;"No"),AND(F46&lt;&gt;"Yes",F46&lt;&gt;"No")),"Use Yes or No","OK")))))))</f>
      </c>
    </row>
    <row r="47">
      <c r="G47" s="4">
        <f>IF(A47="","",IF(COUNTIF(Venues!$A$2:$A$201,A47)=0,"Unknown venue code",IF(OR(B47="",D47="",E47="",F47=""),"Missing details",IF(LEN(B47)&gt;80,"Name too long",IF(COUNTIFS($A$2:$A$1001,A47,$B$2:$B$1001,B47)&gt;1,"Duplicate court name",IF(AND(C47&lt;&gt;"",C47&lt;&gt;"Hard",C47&lt;&gt;"Synthetic",C47&lt;&gt;"Other",C47&lt;&gt;"Not sure"),"Unknown surface",IF(OR(AND(D47&lt;&gt;"Yes",D47&lt;&gt;"No"),AND(E47&lt;&gt;"Yes",E47&lt;&gt;"No"),AND(F47&lt;&gt;"Yes",F47&lt;&gt;"No")),"Use Yes or No","OK")))))))</f>
      </c>
    </row>
    <row r="48">
      <c r="G48" s="4">
        <f>IF(A48="","",IF(COUNTIF(Venues!$A$2:$A$201,A48)=0,"Unknown venue code",IF(OR(B48="",D48="",E48="",F48=""),"Missing details",IF(LEN(B48)&gt;80,"Name too long",IF(COUNTIFS($A$2:$A$1001,A48,$B$2:$B$1001,B48)&gt;1,"Duplicate court name",IF(AND(C48&lt;&gt;"",C48&lt;&gt;"Hard",C48&lt;&gt;"Synthetic",C48&lt;&gt;"Other",C48&lt;&gt;"Not sure"),"Unknown surface",IF(OR(AND(D48&lt;&gt;"Yes",D48&lt;&gt;"No"),AND(E48&lt;&gt;"Yes",E48&lt;&gt;"No"),AND(F48&lt;&gt;"Yes",F48&lt;&gt;"No")),"Use Yes or No","OK")))))))</f>
      </c>
    </row>
    <row r="49">
      <c r="G49" s="4">
        <f>IF(A49="","",IF(COUNTIF(Venues!$A$2:$A$201,A49)=0,"Unknown venue code",IF(OR(B49="",D49="",E49="",F49=""),"Missing details",IF(LEN(B49)&gt;80,"Name too long",IF(COUNTIFS($A$2:$A$1001,A49,$B$2:$B$1001,B49)&gt;1,"Duplicate court name",IF(AND(C49&lt;&gt;"",C49&lt;&gt;"Hard",C49&lt;&gt;"Synthetic",C49&lt;&gt;"Other",C49&lt;&gt;"Not sure"),"Unknown surface",IF(OR(AND(D49&lt;&gt;"Yes",D49&lt;&gt;"No"),AND(E49&lt;&gt;"Yes",E49&lt;&gt;"No"),AND(F49&lt;&gt;"Yes",F49&lt;&gt;"No")),"Use Yes or No","OK")))))))</f>
      </c>
    </row>
    <row r="50">
      <c r="G50" s="4">
        <f>IF(A50="","",IF(COUNTIF(Venues!$A$2:$A$201,A50)=0,"Unknown venue code",IF(OR(B50="",D50="",E50="",F50=""),"Missing details",IF(LEN(B50)&gt;80,"Name too long",IF(COUNTIFS($A$2:$A$1001,A50,$B$2:$B$1001,B50)&gt;1,"Duplicate court name",IF(AND(C50&lt;&gt;"",C50&lt;&gt;"Hard",C50&lt;&gt;"Synthetic",C50&lt;&gt;"Other",C50&lt;&gt;"Not sure"),"Unknown surface",IF(OR(AND(D50&lt;&gt;"Yes",D50&lt;&gt;"No"),AND(E50&lt;&gt;"Yes",E50&lt;&gt;"No"),AND(F50&lt;&gt;"Yes",F50&lt;&gt;"No")),"Use Yes or No","OK")))))))</f>
      </c>
    </row>
    <row r="51">
      <c r="G51" s="4">
        <f>IF(A51="","",IF(COUNTIF(Venues!$A$2:$A$201,A51)=0,"Unknown venue code",IF(OR(B51="",D51="",E51="",F51=""),"Missing details",IF(LEN(B51)&gt;80,"Name too long",IF(COUNTIFS($A$2:$A$1001,A51,$B$2:$B$1001,B51)&gt;1,"Duplicate court name",IF(AND(C51&lt;&gt;"",C51&lt;&gt;"Hard",C51&lt;&gt;"Synthetic",C51&lt;&gt;"Other",C51&lt;&gt;"Not sure"),"Unknown surface",IF(OR(AND(D51&lt;&gt;"Yes",D51&lt;&gt;"No"),AND(E51&lt;&gt;"Yes",E51&lt;&gt;"No"),AND(F51&lt;&gt;"Yes",F51&lt;&gt;"No")),"Use Yes or No","OK")))))))</f>
      </c>
    </row>
    <row r="52">
      <c r="G52" s="4">
        <f>IF(A52="","",IF(COUNTIF(Venues!$A$2:$A$201,A52)=0,"Unknown venue code",IF(OR(B52="",D52="",E52="",F52=""),"Missing details",IF(LEN(B52)&gt;80,"Name too long",IF(COUNTIFS($A$2:$A$1001,A52,$B$2:$B$1001,B52)&gt;1,"Duplicate court name",IF(AND(C52&lt;&gt;"",C52&lt;&gt;"Hard",C52&lt;&gt;"Synthetic",C52&lt;&gt;"Other",C52&lt;&gt;"Not sure"),"Unknown surface",IF(OR(AND(D52&lt;&gt;"Yes",D52&lt;&gt;"No"),AND(E52&lt;&gt;"Yes",E52&lt;&gt;"No"),AND(F52&lt;&gt;"Yes",F52&lt;&gt;"No")),"Use Yes or No","OK")))))))</f>
      </c>
    </row>
    <row r="53">
      <c r="G53" s="4">
        <f>IF(A53="","",IF(COUNTIF(Venues!$A$2:$A$201,A53)=0,"Unknown venue code",IF(OR(B53="",D53="",E53="",F53=""),"Missing details",IF(LEN(B53)&gt;80,"Name too long",IF(COUNTIFS($A$2:$A$1001,A53,$B$2:$B$1001,B53)&gt;1,"Duplicate court name",IF(AND(C53&lt;&gt;"",C53&lt;&gt;"Hard",C53&lt;&gt;"Synthetic",C53&lt;&gt;"Other",C53&lt;&gt;"Not sure"),"Unknown surface",IF(OR(AND(D53&lt;&gt;"Yes",D53&lt;&gt;"No"),AND(E53&lt;&gt;"Yes",E53&lt;&gt;"No"),AND(F53&lt;&gt;"Yes",F53&lt;&gt;"No")),"Use Yes or No","OK")))))))</f>
      </c>
    </row>
    <row r="54">
      <c r="G54" s="4">
        <f>IF(A54="","",IF(COUNTIF(Venues!$A$2:$A$201,A54)=0,"Unknown venue code",IF(OR(B54="",D54="",E54="",F54=""),"Missing details",IF(LEN(B54)&gt;80,"Name too long",IF(COUNTIFS($A$2:$A$1001,A54,$B$2:$B$1001,B54)&gt;1,"Duplicate court name",IF(AND(C54&lt;&gt;"",C54&lt;&gt;"Hard",C54&lt;&gt;"Synthetic",C54&lt;&gt;"Other",C54&lt;&gt;"Not sure"),"Unknown surface",IF(OR(AND(D54&lt;&gt;"Yes",D54&lt;&gt;"No"),AND(E54&lt;&gt;"Yes",E54&lt;&gt;"No"),AND(F54&lt;&gt;"Yes",F54&lt;&gt;"No")),"Use Yes or No","OK")))))))</f>
      </c>
    </row>
    <row r="55">
      <c r="G55" s="4">
        <f>IF(A55="","",IF(COUNTIF(Venues!$A$2:$A$201,A55)=0,"Unknown venue code",IF(OR(B55="",D55="",E55="",F55=""),"Missing details",IF(LEN(B55)&gt;80,"Name too long",IF(COUNTIFS($A$2:$A$1001,A55,$B$2:$B$1001,B55)&gt;1,"Duplicate court name",IF(AND(C55&lt;&gt;"",C55&lt;&gt;"Hard",C55&lt;&gt;"Synthetic",C55&lt;&gt;"Other",C55&lt;&gt;"Not sure"),"Unknown surface",IF(OR(AND(D55&lt;&gt;"Yes",D55&lt;&gt;"No"),AND(E55&lt;&gt;"Yes",E55&lt;&gt;"No"),AND(F55&lt;&gt;"Yes",F55&lt;&gt;"No")),"Use Yes or No","OK")))))))</f>
      </c>
    </row>
    <row r="56">
      <c r="G56" s="4">
        <f>IF(A56="","",IF(COUNTIF(Venues!$A$2:$A$201,A56)=0,"Unknown venue code",IF(OR(B56="",D56="",E56="",F56=""),"Missing details",IF(LEN(B56)&gt;80,"Name too long",IF(COUNTIFS($A$2:$A$1001,A56,$B$2:$B$1001,B56)&gt;1,"Duplicate court name",IF(AND(C56&lt;&gt;"",C56&lt;&gt;"Hard",C56&lt;&gt;"Synthetic",C56&lt;&gt;"Other",C56&lt;&gt;"Not sure"),"Unknown surface",IF(OR(AND(D56&lt;&gt;"Yes",D56&lt;&gt;"No"),AND(E56&lt;&gt;"Yes",E56&lt;&gt;"No"),AND(F56&lt;&gt;"Yes",F56&lt;&gt;"No")),"Use Yes or No","OK")))))))</f>
      </c>
    </row>
    <row r="57">
      <c r="G57" s="4">
        <f>IF(A57="","",IF(COUNTIF(Venues!$A$2:$A$201,A57)=0,"Unknown venue code",IF(OR(B57="",D57="",E57="",F57=""),"Missing details",IF(LEN(B57)&gt;80,"Name too long",IF(COUNTIFS($A$2:$A$1001,A57,$B$2:$B$1001,B57)&gt;1,"Duplicate court name",IF(AND(C57&lt;&gt;"",C57&lt;&gt;"Hard",C57&lt;&gt;"Synthetic",C57&lt;&gt;"Other",C57&lt;&gt;"Not sure"),"Unknown surface",IF(OR(AND(D57&lt;&gt;"Yes",D57&lt;&gt;"No"),AND(E57&lt;&gt;"Yes",E57&lt;&gt;"No"),AND(F57&lt;&gt;"Yes",F57&lt;&gt;"No")),"Use Yes or No","OK")))))))</f>
      </c>
    </row>
    <row r="58">
      <c r="G58" s="4">
        <f>IF(A58="","",IF(COUNTIF(Venues!$A$2:$A$201,A58)=0,"Unknown venue code",IF(OR(B58="",D58="",E58="",F58=""),"Missing details",IF(LEN(B58)&gt;80,"Name too long",IF(COUNTIFS($A$2:$A$1001,A58,$B$2:$B$1001,B58)&gt;1,"Duplicate court name",IF(AND(C58&lt;&gt;"",C58&lt;&gt;"Hard",C58&lt;&gt;"Synthetic",C58&lt;&gt;"Other",C58&lt;&gt;"Not sure"),"Unknown surface",IF(OR(AND(D58&lt;&gt;"Yes",D58&lt;&gt;"No"),AND(E58&lt;&gt;"Yes",E58&lt;&gt;"No"),AND(F58&lt;&gt;"Yes",F58&lt;&gt;"No")),"Use Yes or No","OK")))))))</f>
      </c>
    </row>
    <row r="59">
      <c r="G59" s="4">
        <f>IF(A59="","",IF(COUNTIF(Venues!$A$2:$A$201,A59)=0,"Unknown venue code",IF(OR(B59="",D59="",E59="",F59=""),"Missing details",IF(LEN(B59)&gt;80,"Name too long",IF(COUNTIFS($A$2:$A$1001,A59,$B$2:$B$1001,B59)&gt;1,"Duplicate court name",IF(AND(C59&lt;&gt;"",C59&lt;&gt;"Hard",C59&lt;&gt;"Synthetic",C59&lt;&gt;"Other",C59&lt;&gt;"Not sure"),"Unknown surface",IF(OR(AND(D59&lt;&gt;"Yes",D59&lt;&gt;"No"),AND(E59&lt;&gt;"Yes",E59&lt;&gt;"No"),AND(F59&lt;&gt;"Yes",F59&lt;&gt;"No")),"Use Yes or No","OK")))))))</f>
      </c>
    </row>
    <row r="60">
      <c r="G60" s="4">
        <f>IF(A60="","",IF(COUNTIF(Venues!$A$2:$A$201,A60)=0,"Unknown venue code",IF(OR(B60="",D60="",E60="",F60=""),"Missing details",IF(LEN(B60)&gt;80,"Name too long",IF(COUNTIFS($A$2:$A$1001,A60,$B$2:$B$1001,B60)&gt;1,"Duplicate court name",IF(AND(C60&lt;&gt;"",C60&lt;&gt;"Hard",C60&lt;&gt;"Synthetic",C60&lt;&gt;"Other",C60&lt;&gt;"Not sure"),"Unknown surface",IF(OR(AND(D60&lt;&gt;"Yes",D60&lt;&gt;"No"),AND(E60&lt;&gt;"Yes",E60&lt;&gt;"No"),AND(F60&lt;&gt;"Yes",F60&lt;&gt;"No")),"Use Yes or No","OK")))))))</f>
      </c>
    </row>
    <row r="61">
      <c r="G61" s="4">
        <f>IF(A61="","",IF(COUNTIF(Venues!$A$2:$A$201,A61)=0,"Unknown venue code",IF(OR(B61="",D61="",E61="",F61=""),"Missing details",IF(LEN(B61)&gt;80,"Name too long",IF(COUNTIFS($A$2:$A$1001,A61,$B$2:$B$1001,B61)&gt;1,"Duplicate court name",IF(AND(C61&lt;&gt;"",C61&lt;&gt;"Hard",C61&lt;&gt;"Synthetic",C61&lt;&gt;"Other",C61&lt;&gt;"Not sure"),"Unknown surface",IF(OR(AND(D61&lt;&gt;"Yes",D61&lt;&gt;"No"),AND(E61&lt;&gt;"Yes",E61&lt;&gt;"No"),AND(F61&lt;&gt;"Yes",F61&lt;&gt;"No")),"Use Yes or No","OK")))))))</f>
      </c>
    </row>
    <row r="62">
      <c r="G62" s="4">
        <f>IF(A62="","",IF(COUNTIF(Venues!$A$2:$A$201,A62)=0,"Unknown venue code",IF(OR(B62="",D62="",E62="",F62=""),"Missing details",IF(LEN(B62)&gt;80,"Name too long",IF(COUNTIFS($A$2:$A$1001,A62,$B$2:$B$1001,B62)&gt;1,"Duplicate court name",IF(AND(C62&lt;&gt;"",C62&lt;&gt;"Hard",C62&lt;&gt;"Synthetic",C62&lt;&gt;"Other",C62&lt;&gt;"Not sure"),"Unknown surface",IF(OR(AND(D62&lt;&gt;"Yes",D62&lt;&gt;"No"),AND(E62&lt;&gt;"Yes",E62&lt;&gt;"No"),AND(F62&lt;&gt;"Yes",F62&lt;&gt;"No")),"Use Yes or No","OK")))))))</f>
      </c>
    </row>
    <row r="63">
      <c r="G63" s="4">
        <f>IF(A63="","",IF(COUNTIF(Venues!$A$2:$A$201,A63)=0,"Unknown venue code",IF(OR(B63="",D63="",E63="",F63=""),"Missing details",IF(LEN(B63)&gt;80,"Name too long",IF(COUNTIFS($A$2:$A$1001,A63,$B$2:$B$1001,B63)&gt;1,"Duplicate court name",IF(AND(C63&lt;&gt;"",C63&lt;&gt;"Hard",C63&lt;&gt;"Synthetic",C63&lt;&gt;"Other",C63&lt;&gt;"Not sure"),"Unknown surface",IF(OR(AND(D63&lt;&gt;"Yes",D63&lt;&gt;"No"),AND(E63&lt;&gt;"Yes",E63&lt;&gt;"No"),AND(F63&lt;&gt;"Yes",F63&lt;&gt;"No")),"Use Yes or No","OK")))))))</f>
      </c>
    </row>
    <row r="64">
      <c r="G64" s="4">
        <f>IF(A64="","",IF(COUNTIF(Venues!$A$2:$A$201,A64)=0,"Unknown venue code",IF(OR(B64="",D64="",E64="",F64=""),"Missing details",IF(LEN(B64)&gt;80,"Name too long",IF(COUNTIFS($A$2:$A$1001,A64,$B$2:$B$1001,B64)&gt;1,"Duplicate court name",IF(AND(C64&lt;&gt;"",C64&lt;&gt;"Hard",C64&lt;&gt;"Synthetic",C64&lt;&gt;"Other",C64&lt;&gt;"Not sure"),"Unknown surface",IF(OR(AND(D64&lt;&gt;"Yes",D64&lt;&gt;"No"),AND(E64&lt;&gt;"Yes",E64&lt;&gt;"No"),AND(F64&lt;&gt;"Yes",F64&lt;&gt;"No")),"Use Yes or No","OK")))))))</f>
      </c>
    </row>
    <row r="65">
      <c r="G65" s="4">
        <f>IF(A65="","",IF(COUNTIF(Venues!$A$2:$A$201,A65)=0,"Unknown venue code",IF(OR(B65="",D65="",E65="",F65=""),"Missing details",IF(LEN(B65)&gt;80,"Name too long",IF(COUNTIFS($A$2:$A$1001,A65,$B$2:$B$1001,B65)&gt;1,"Duplicate court name",IF(AND(C65&lt;&gt;"",C65&lt;&gt;"Hard",C65&lt;&gt;"Synthetic",C65&lt;&gt;"Other",C65&lt;&gt;"Not sure"),"Unknown surface",IF(OR(AND(D65&lt;&gt;"Yes",D65&lt;&gt;"No"),AND(E65&lt;&gt;"Yes",E65&lt;&gt;"No"),AND(F65&lt;&gt;"Yes",F65&lt;&gt;"No")),"Use Yes or No","OK")))))))</f>
      </c>
    </row>
    <row r="66">
      <c r="G66" s="4">
        <f>IF(A66="","",IF(COUNTIF(Venues!$A$2:$A$201,A66)=0,"Unknown venue code",IF(OR(B66="",D66="",E66="",F66=""),"Missing details",IF(LEN(B66)&gt;80,"Name too long",IF(COUNTIFS($A$2:$A$1001,A66,$B$2:$B$1001,B66)&gt;1,"Duplicate court name",IF(AND(C66&lt;&gt;"",C66&lt;&gt;"Hard",C66&lt;&gt;"Synthetic",C66&lt;&gt;"Other",C66&lt;&gt;"Not sure"),"Unknown surface",IF(OR(AND(D66&lt;&gt;"Yes",D66&lt;&gt;"No"),AND(E66&lt;&gt;"Yes",E66&lt;&gt;"No"),AND(F66&lt;&gt;"Yes",F66&lt;&gt;"No")),"Use Yes or No","OK")))))))</f>
      </c>
    </row>
    <row r="67">
      <c r="G67" s="4">
        <f>IF(A67="","",IF(COUNTIF(Venues!$A$2:$A$201,A67)=0,"Unknown venue code",IF(OR(B67="",D67="",E67="",F67=""),"Missing details",IF(LEN(B67)&gt;80,"Name too long",IF(COUNTIFS($A$2:$A$1001,A67,$B$2:$B$1001,B67)&gt;1,"Duplicate court name",IF(AND(C67&lt;&gt;"",C67&lt;&gt;"Hard",C67&lt;&gt;"Synthetic",C67&lt;&gt;"Other",C67&lt;&gt;"Not sure"),"Unknown surface",IF(OR(AND(D67&lt;&gt;"Yes",D67&lt;&gt;"No"),AND(E67&lt;&gt;"Yes",E67&lt;&gt;"No"),AND(F67&lt;&gt;"Yes",F67&lt;&gt;"No")),"Use Yes or No","OK")))))))</f>
      </c>
    </row>
    <row r="68">
      <c r="G68" s="4">
        <f>IF(A68="","",IF(COUNTIF(Venues!$A$2:$A$201,A68)=0,"Unknown venue code",IF(OR(B68="",D68="",E68="",F68=""),"Missing details",IF(LEN(B68)&gt;80,"Name too long",IF(COUNTIFS($A$2:$A$1001,A68,$B$2:$B$1001,B68)&gt;1,"Duplicate court name",IF(AND(C68&lt;&gt;"",C68&lt;&gt;"Hard",C68&lt;&gt;"Synthetic",C68&lt;&gt;"Other",C68&lt;&gt;"Not sure"),"Unknown surface",IF(OR(AND(D68&lt;&gt;"Yes",D68&lt;&gt;"No"),AND(E68&lt;&gt;"Yes",E68&lt;&gt;"No"),AND(F68&lt;&gt;"Yes",F68&lt;&gt;"No")),"Use Yes or No","OK")))))))</f>
      </c>
    </row>
    <row r="69">
      <c r="G69" s="4">
        <f>IF(A69="","",IF(COUNTIF(Venues!$A$2:$A$201,A69)=0,"Unknown venue code",IF(OR(B69="",D69="",E69="",F69=""),"Missing details",IF(LEN(B69)&gt;80,"Name too long",IF(COUNTIFS($A$2:$A$1001,A69,$B$2:$B$1001,B69)&gt;1,"Duplicate court name",IF(AND(C69&lt;&gt;"",C69&lt;&gt;"Hard",C69&lt;&gt;"Synthetic",C69&lt;&gt;"Other",C69&lt;&gt;"Not sure"),"Unknown surface",IF(OR(AND(D69&lt;&gt;"Yes",D69&lt;&gt;"No"),AND(E69&lt;&gt;"Yes",E69&lt;&gt;"No"),AND(F69&lt;&gt;"Yes",F69&lt;&gt;"No")),"Use Yes or No","OK")))))))</f>
      </c>
    </row>
    <row r="70">
      <c r="G70" s="4">
        <f>IF(A70="","",IF(COUNTIF(Venues!$A$2:$A$201,A70)=0,"Unknown venue code",IF(OR(B70="",D70="",E70="",F70=""),"Missing details",IF(LEN(B70)&gt;80,"Name too long",IF(COUNTIFS($A$2:$A$1001,A70,$B$2:$B$1001,B70)&gt;1,"Duplicate court name",IF(AND(C70&lt;&gt;"",C70&lt;&gt;"Hard",C70&lt;&gt;"Synthetic",C70&lt;&gt;"Other",C70&lt;&gt;"Not sure"),"Unknown surface",IF(OR(AND(D70&lt;&gt;"Yes",D70&lt;&gt;"No"),AND(E70&lt;&gt;"Yes",E70&lt;&gt;"No"),AND(F70&lt;&gt;"Yes",F70&lt;&gt;"No")),"Use Yes or No","OK")))))))</f>
      </c>
    </row>
    <row r="71">
      <c r="G71" s="4">
        <f>IF(A71="","",IF(COUNTIF(Venues!$A$2:$A$201,A71)=0,"Unknown venue code",IF(OR(B71="",D71="",E71="",F71=""),"Missing details",IF(LEN(B71)&gt;80,"Name too long",IF(COUNTIFS($A$2:$A$1001,A71,$B$2:$B$1001,B71)&gt;1,"Duplicate court name",IF(AND(C71&lt;&gt;"",C71&lt;&gt;"Hard",C71&lt;&gt;"Synthetic",C71&lt;&gt;"Other",C71&lt;&gt;"Not sure"),"Unknown surface",IF(OR(AND(D71&lt;&gt;"Yes",D71&lt;&gt;"No"),AND(E71&lt;&gt;"Yes",E71&lt;&gt;"No"),AND(F71&lt;&gt;"Yes",F71&lt;&gt;"No")),"Use Yes or No","OK")))))))</f>
      </c>
    </row>
    <row r="72">
      <c r="G72" s="4">
        <f>IF(A72="","",IF(COUNTIF(Venues!$A$2:$A$201,A72)=0,"Unknown venue code",IF(OR(B72="",D72="",E72="",F72=""),"Missing details",IF(LEN(B72)&gt;80,"Name too long",IF(COUNTIFS($A$2:$A$1001,A72,$B$2:$B$1001,B72)&gt;1,"Duplicate court name",IF(AND(C72&lt;&gt;"",C72&lt;&gt;"Hard",C72&lt;&gt;"Synthetic",C72&lt;&gt;"Other",C72&lt;&gt;"Not sure"),"Unknown surface",IF(OR(AND(D72&lt;&gt;"Yes",D72&lt;&gt;"No"),AND(E72&lt;&gt;"Yes",E72&lt;&gt;"No"),AND(F72&lt;&gt;"Yes",F72&lt;&gt;"No")),"Use Yes or No","OK")))))))</f>
      </c>
    </row>
    <row r="73">
      <c r="G73" s="4">
        <f>IF(A73="","",IF(COUNTIF(Venues!$A$2:$A$201,A73)=0,"Unknown venue code",IF(OR(B73="",D73="",E73="",F73=""),"Missing details",IF(LEN(B73)&gt;80,"Name too long",IF(COUNTIFS($A$2:$A$1001,A73,$B$2:$B$1001,B73)&gt;1,"Duplicate court name",IF(AND(C73&lt;&gt;"",C73&lt;&gt;"Hard",C73&lt;&gt;"Synthetic",C73&lt;&gt;"Other",C73&lt;&gt;"Not sure"),"Unknown surface",IF(OR(AND(D73&lt;&gt;"Yes",D73&lt;&gt;"No"),AND(E73&lt;&gt;"Yes",E73&lt;&gt;"No"),AND(F73&lt;&gt;"Yes",F73&lt;&gt;"No")),"Use Yes or No","OK")))))))</f>
      </c>
    </row>
    <row r="74">
      <c r="G74" s="4">
        <f>IF(A74="","",IF(COUNTIF(Venues!$A$2:$A$201,A74)=0,"Unknown venue code",IF(OR(B74="",D74="",E74="",F74=""),"Missing details",IF(LEN(B74)&gt;80,"Name too long",IF(COUNTIFS($A$2:$A$1001,A74,$B$2:$B$1001,B74)&gt;1,"Duplicate court name",IF(AND(C74&lt;&gt;"",C74&lt;&gt;"Hard",C74&lt;&gt;"Synthetic",C74&lt;&gt;"Other",C74&lt;&gt;"Not sure"),"Unknown surface",IF(OR(AND(D74&lt;&gt;"Yes",D74&lt;&gt;"No"),AND(E74&lt;&gt;"Yes",E74&lt;&gt;"No"),AND(F74&lt;&gt;"Yes",F74&lt;&gt;"No")),"Use Yes or No","OK")))))))</f>
      </c>
    </row>
    <row r="75">
      <c r="G75" s="4">
        <f>IF(A75="","",IF(COUNTIF(Venues!$A$2:$A$201,A75)=0,"Unknown venue code",IF(OR(B75="",D75="",E75="",F75=""),"Missing details",IF(LEN(B75)&gt;80,"Name too long",IF(COUNTIFS($A$2:$A$1001,A75,$B$2:$B$1001,B75)&gt;1,"Duplicate court name",IF(AND(C75&lt;&gt;"",C75&lt;&gt;"Hard",C75&lt;&gt;"Synthetic",C75&lt;&gt;"Other",C75&lt;&gt;"Not sure"),"Unknown surface",IF(OR(AND(D75&lt;&gt;"Yes",D75&lt;&gt;"No"),AND(E75&lt;&gt;"Yes",E75&lt;&gt;"No"),AND(F75&lt;&gt;"Yes",F75&lt;&gt;"No")),"Use Yes or No","OK")))))))</f>
      </c>
    </row>
    <row r="76">
      <c r="G76" s="4">
        <f>IF(A76="","",IF(COUNTIF(Venues!$A$2:$A$201,A76)=0,"Unknown venue code",IF(OR(B76="",D76="",E76="",F76=""),"Missing details",IF(LEN(B76)&gt;80,"Name too long",IF(COUNTIFS($A$2:$A$1001,A76,$B$2:$B$1001,B76)&gt;1,"Duplicate court name",IF(AND(C76&lt;&gt;"",C76&lt;&gt;"Hard",C76&lt;&gt;"Synthetic",C76&lt;&gt;"Other",C76&lt;&gt;"Not sure"),"Unknown surface",IF(OR(AND(D76&lt;&gt;"Yes",D76&lt;&gt;"No"),AND(E76&lt;&gt;"Yes",E76&lt;&gt;"No"),AND(F76&lt;&gt;"Yes",F76&lt;&gt;"No")),"Use Yes or No","OK")))))))</f>
      </c>
    </row>
    <row r="77">
      <c r="G77" s="4">
        <f>IF(A77="","",IF(COUNTIF(Venues!$A$2:$A$201,A77)=0,"Unknown venue code",IF(OR(B77="",D77="",E77="",F77=""),"Missing details",IF(LEN(B77)&gt;80,"Name too long",IF(COUNTIFS($A$2:$A$1001,A77,$B$2:$B$1001,B77)&gt;1,"Duplicate court name",IF(AND(C77&lt;&gt;"",C77&lt;&gt;"Hard",C77&lt;&gt;"Synthetic",C77&lt;&gt;"Other",C77&lt;&gt;"Not sure"),"Unknown surface",IF(OR(AND(D77&lt;&gt;"Yes",D77&lt;&gt;"No"),AND(E77&lt;&gt;"Yes",E77&lt;&gt;"No"),AND(F77&lt;&gt;"Yes",F77&lt;&gt;"No")),"Use Yes or No","OK")))))))</f>
      </c>
    </row>
    <row r="78">
      <c r="G78" s="4">
        <f>IF(A78="","",IF(COUNTIF(Venues!$A$2:$A$201,A78)=0,"Unknown venue code",IF(OR(B78="",D78="",E78="",F78=""),"Missing details",IF(LEN(B78)&gt;80,"Name too long",IF(COUNTIFS($A$2:$A$1001,A78,$B$2:$B$1001,B78)&gt;1,"Duplicate court name",IF(AND(C78&lt;&gt;"",C78&lt;&gt;"Hard",C78&lt;&gt;"Synthetic",C78&lt;&gt;"Other",C78&lt;&gt;"Not sure"),"Unknown surface",IF(OR(AND(D78&lt;&gt;"Yes",D78&lt;&gt;"No"),AND(E78&lt;&gt;"Yes",E78&lt;&gt;"No"),AND(F78&lt;&gt;"Yes",F78&lt;&gt;"No")),"Use Yes or No","OK")))))))</f>
      </c>
    </row>
    <row r="79">
      <c r="G79" s="4">
        <f>IF(A79="","",IF(COUNTIF(Venues!$A$2:$A$201,A79)=0,"Unknown venue code",IF(OR(B79="",D79="",E79="",F79=""),"Missing details",IF(LEN(B79)&gt;80,"Name too long",IF(COUNTIFS($A$2:$A$1001,A79,$B$2:$B$1001,B79)&gt;1,"Duplicate court name",IF(AND(C79&lt;&gt;"",C79&lt;&gt;"Hard",C79&lt;&gt;"Synthetic",C79&lt;&gt;"Other",C79&lt;&gt;"Not sure"),"Unknown surface",IF(OR(AND(D79&lt;&gt;"Yes",D79&lt;&gt;"No"),AND(E79&lt;&gt;"Yes",E79&lt;&gt;"No"),AND(F79&lt;&gt;"Yes",F79&lt;&gt;"No")),"Use Yes or No","OK")))))))</f>
      </c>
    </row>
    <row r="80">
      <c r="G80" s="4">
        <f>IF(A80="","",IF(COUNTIF(Venues!$A$2:$A$201,A80)=0,"Unknown venue code",IF(OR(B80="",D80="",E80="",F80=""),"Missing details",IF(LEN(B80)&gt;80,"Name too long",IF(COUNTIFS($A$2:$A$1001,A80,$B$2:$B$1001,B80)&gt;1,"Duplicate court name",IF(AND(C80&lt;&gt;"",C80&lt;&gt;"Hard",C80&lt;&gt;"Synthetic",C80&lt;&gt;"Other",C80&lt;&gt;"Not sure"),"Unknown surface",IF(OR(AND(D80&lt;&gt;"Yes",D80&lt;&gt;"No"),AND(E80&lt;&gt;"Yes",E80&lt;&gt;"No"),AND(F80&lt;&gt;"Yes",F80&lt;&gt;"No")),"Use Yes or No","OK")))))))</f>
      </c>
    </row>
    <row r="81">
      <c r="G81" s="4">
        <f>IF(A81="","",IF(COUNTIF(Venues!$A$2:$A$201,A81)=0,"Unknown venue code",IF(OR(B81="",D81="",E81="",F81=""),"Missing details",IF(LEN(B81)&gt;80,"Name too long",IF(COUNTIFS($A$2:$A$1001,A81,$B$2:$B$1001,B81)&gt;1,"Duplicate court name",IF(AND(C81&lt;&gt;"",C81&lt;&gt;"Hard",C81&lt;&gt;"Synthetic",C81&lt;&gt;"Other",C81&lt;&gt;"Not sure"),"Unknown surface",IF(OR(AND(D81&lt;&gt;"Yes",D81&lt;&gt;"No"),AND(E81&lt;&gt;"Yes",E81&lt;&gt;"No"),AND(F81&lt;&gt;"Yes",F81&lt;&gt;"No")),"Use Yes or No","OK")))))))</f>
      </c>
    </row>
    <row r="82">
      <c r="G82" s="4">
        <f>IF(A82="","",IF(COUNTIF(Venues!$A$2:$A$201,A82)=0,"Unknown venue code",IF(OR(B82="",D82="",E82="",F82=""),"Missing details",IF(LEN(B82)&gt;80,"Name too long",IF(COUNTIFS($A$2:$A$1001,A82,$B$2:$B$1001,B82)&gt;1,"Duplicate court name",IF(AND(C82&lt;&gt;"",C82&lt;&gt;"Hard",C82&lt;&gt;"Synthetic",C82&lt;&gt;"Other",C82&lt;&gt;"Not sure"),"Unknown surface",IF(OR(AND(D82&lt;&gt;"Yes",D82&lt;&gt;"No"),AND(E82&lt;&gt;"Yes",E82&lt;&gt;"No"),AND(F82&lt;&gt;"Yes",F82&lt;&gt;"No")),"Use Yes or No","OK")))))))</f>
      </c>
    </row>
    <row r="83">
      <c r="G83" s="4">
        <f>IF(A83="","",IF(COUNTIF(Venues!$A$2:$A$201,A83)=0,"Unknown venue code",IF(OR(B83="",D83="",E83="",F83=""),"Missing details",IF(LEN(B83)&gt;80,"Name too long",IF(COUNTIFS($A$2:$A$1001,A83,$B$2:$B$1001,B83)&gt;1,"Duplicate court name",IF(AND(C83&lt;&gt;"",C83&lt;&gt;"Hard",C83&lt;&gt;"Synthetic",C83&lt;&gt;"Other",C83&lt;&gt;"Not sure"),"Unknown surface",IF(OR(AND(D83&lt;&gt;"Yes",D83&lt;&gt;"No"),AND(E83&lt;&gt;"Yes",E83&lt;&gt;"No"),AND(F83&lt;&gt;"Yes",F83&lt;&gt;"No")),"Use Yes or No","OK")))))))</f>
      </c>
    </row>
    <row r="84">
      <c r="G84" s="4">
        <f>IF(A84="","",IF(COUNTIF(Venues!$A$2:$A$201,A84)=0,"Unknown venue code",IF(OR(B84="",D84="",E84="",F84=""),"Missing details",IF(LEN(B84)&gt;80,"Name too long",IF(COUNTIFS($A$2:$A$1001,A84,$B$2:$B$1001,B84)&gt;1,"Duplicate court name",IF(AND(C84&lt;&gt;"",C84&lt;&gt;"Hard",C84&lt;&gt;"Synthetic",C84&lt;&gt;"Other",C84&lt;&gt;"Not sure"),"Unknown surface",IF(OR(AND(D84&lt;&gt;"Yes",D84&lt;&gt;"No"),AND(E84&lt;&gt;"Yes",E84&lt;&gt;"No"),AND(F84&lt;&gt;"Yes",F84&lt;&gt;"No")),"Use Yes or No","OK")))))))</f>
      </c>
    </row>
    <row r="85">
      <c r="G85" s="4">
        <f>IF(A85="","",IF(COUNTIF(Venues!$A$2:$A$201,A85)=0,"Unknown venue code",IF(OR(B85="",D85="",E85="",F85=""),"Missing details",IF(LEN(B85)&gt;80,"Name too long",IF(COUNTIFS($A$2:$A$1001,A85,$B$2:$B$1001,B85)&gt;1,"Duplicate court name",IF(AND(C85&lt;&gt;"",C85&lt;&gt;"Hard",C85&lt;&gt;"Synthetic",C85&lt;&gt;"Other",C85&lt;&gt;"Not sure"),"Unknown surface",IF(OR(AND(D85&lt;&gt;"Yes",D85&lt;&gt;"No"),AND(E85&lt;&gt;"Yes",E85&lt;&gt;"No"),AND(F85&lt;&gt;"Yes",F85&lt;&gt;"No")),"Use Yes or No","OK")))))))</f>
      </c>
    </row>
    <row r="86">
      <c r="G86" s="4">
        <f>IF(A86="","",IF(COUNTIF(Venues!$A$2:$A$201,A86)=0,"Unknown venue code",IF(OR(B86="",D86="",E86="",F86=""),"Missing details",IF(LEN(B86)&gt;80,"Name too long",IF(COUNTIFS($A$2:$A$1001,A86,$B$2:$B$1001,B86)&gt;1,"Duplicate court name",IF(AND(C86&lt;&gt;"",C86&lt;&gt;"Hard",C86&lt;&gt;"Synthetic",C86&lt;&gt;"Other",C86&lt;&gt;"Not sure"),"Unknown surface",IF(OR(AND(D86&lt;&gt;"Yes",D86&lt;&gt;"No"),AND(E86&lt;&gt;"Yes",E86&lt;&gt;"No"),AND(F86&lt;&gt;"Yes",F86&lt;&gt;"No")),"Use Yes or No","OK")))))))</f>
      </c>
    </row>
    <row r="87">
      <c r="G87" s="4">
        <f>IF(A87="","",IF(COUNTIF(Venues!$A$2:$A$201,A87)=0,"Unknown venue code",IF(OR(B87="",D87="",E87="",F87=""),"Missing details",IF(LEN(B87)&gt;80,"Name too long",IF(COUNTIFS($A$2:$A$1001,A87,$B$2:$B$1001,B87)&gt;1,"Duplicate court name",IF(AND(C87&lt;&gt;"",C87&lt;&gt;"Hard",C87&lt;&gt;"Synthetic",C87&lt;&gt;"Other",C87&lt;&gt;"Not sure"),"Unknown surface",IF(OR(AND(D87&lt;&gt;"Yes",D87&lt;&gt;"No"),AND(E87&lt;&gt;"Yes",E87&lt;&gt;"No"),AND(F87&lt;&gt;"Yes",F87&lt;&gt;"No")),"Use Yes or No","OK")))))))</f>
      </c>
    </row>
    <row r="88">
      <c r="G88" s="4">
        <f>IF(A88="","",IF(COUNTIF(Venues!$A$2:$A$201,A88)=0,"Unknown venue code",IF(OR(B88="",D88="",E88="",F88=""),"Missing details",IF(LEN(B88)&gt;80,"Name too long",IF(COUNTIFS($A$2:$A$1001,A88,$B$2:$B$1001,B88)&gt;1,"Duplicate court name",IF(AND(C88&lt;&gt;"",C88&lt;&gt;"Hard",C88&lt;&gt;"Synthetic",C88&lt;&gt;"Other",C88&lt;&gt;"Not sure"),"Unknown surface",IF(OR(AND(D88&lt;&gt;"Yes",D88&lt;&gt;"No"),AND(E88&lt;&gt;"Yes",E88&lt;&gt;"No"),AND(F88&lt;&gt;"Yes",F88&lt;&gt;"No")),"Use Yes or No","OK")))))))</f>
      </c>
    </row>
    <row r="89">
      <c r="G89" s="4">
        <f>IF(A89="","",IF(COUNTIF(Venues!$A$2:$A$201,A89)=0,"Unknown venue code",IF(OR(B89="",D89="",E89="",F89=""),"Missing details",IF(LEN(B89)&gt;80,"Name too long",IF(COUNTIFS($A$2:$A$1001,A89,$B$2:$B$1001,B89)&gt;1,"Duplicate court name",IF(AND(C89&lt;&gt;"",C89&lt;&gt;"Hard",C89&lt;&gt;"Synthetic",C89&lt;&gt;"Other",C89&lt;&gt;"Not sure"),"Unknown surface",IF(OR(AND(D89&lt;&gt;"Yes",D89&lt;&gt;"No"),AND(E89&lt;&gt;"Yes",E89&lt;&gt;"No"),AND(F89&lt;&gt;"Yes",F89&lt;&gt;"No")),"Use Yes or No","OK")))))))</f>
      </c>
    </row>
    <row r="90">
      <c r="G90" s="4">
        <f>IF(A90="","",IF(COUNTIF(Venues!$A$2:$A$201,A90)=0,"Unknown venue code",IF(OR(B90="",D90="",E90="",F90=""),"Missing details",IF(LEN(B90)&gt;80,"Name too long",IF(COUNTIFS($A$2:$A$1001,A90,$B$2:$B$1001,B90)&gt;1,"Duplicate court name",IF(AND(C90&lt;&gt;"",C90&lt;&gt;"Hard",C90&lt;&gt;"Synthetic",C90&lt;&gt;"Other",C90&lt;&gt;"Not sure"),"Unknown surface",IF(OR(AND(D90&lt;&gt;"Yes",D90&lt;&gt;"No"),AND(E90&lt;&gt;"Yes",E90&lt;&gt;"No"),AND(F90&lt;&gt;"Yes",F90&lt;&gt;"No")),"Use Yes or No","OK")))))))</f>
      </c>
    </row>
    <row r="91">
      <c r="G91" s="4">
        <f>IF(A91="","",IF(COUNTIF(Venues!$A$2:$A$201,A91)=0,"Unknown venue code",IF(OR(B91="",D91="",E91="",F91=""),"Missing details",IF(LEN(B91)&gt;80,"Name too long",IF(COUNTIFS($A$2:$A$1001,A91,$B$2:$B$1001,B91)&gt;1,"Duplicate court name",IF(AND(C91&lt;&gt;"",C91&lt;&gt;"Hard",C91&lt;&gt;"Synthetic",C91&lt;&gt;"Other",C91&lt;&gt;"Not sure"),"Unknown surface",IF(OR(AND(D91&lt;&gt;"Yes",D91&lt;&gt;"No"),AND(E91&lt;&gt;"Yes",E91&lt;&gt;"No"),AND(F91&lt;&gt;"Yes",F91&lt;&gt;"No")),"Use Yes or No","OK")))))))</f>
      </c>
    </row>
    <row r="92">
      <c r="G92" s="4">
        <f>IF(A92="","",IF(COUNTIF(Venues!$A$2:$A$201,A92)=0,"Unknown venue code",IF(OR(B92="",D92="",E92="",F92=""),"Missing details",IF(LEN(B92)&gt;80,"Name too long",IF(COUNTIFS($A$2:$A$1001,A92,$B$2:$B$1001,B92)&gt;1,"Duplicate court name",IF(AND(C92&lt;&gt;"",C92&lt;&gt;"Hard",C92&lt;&gt;"Synthetic",C92&lt;&gt;"Other",C92&lt;&gt;"Not sure"),"Unknown surface",IF(OR(AND(D92&lt;&gt;"Yes",D92&lt;&gt;"No"),AND(E92&lt;&gt;"Yes",E92&lt;&gt;"No"),AND(F92&lt;&gt;"Yes",F92&lt;&gt;"No")),"Use Yes or No","OK")))))))</f>
      </c>
    </row>
    <row r="93">
      <c r="G93" s="4">
        <f>IF(A93="","",IF(COUNTIF(Venues!$A$2:$A$201,A93)=0,"Unknown venue code",IF(OR(B93="",D93="",E93="",F93=""),"Missing details",IF(LEN(B93)&gt;80,"Name too long",IF(COUNTIFS($A$2:$A$1001,A93,$B$2:$B$1001,B93)&gt;1,"Duplicate court name",IF(AND(C93&lt;&gt;"",C93&lt;&gt;"Hard",C93&lt;&gt;"Synthetic",C93&lt;&gt;"Other",C93&lt;&gt;"Not sure"),"Unknown surface",IF(OR(AND(D93&lt;&gt;"Yes",D93&lt;&gt;"No"),AND(E93&lt;&gt;"Yes",E93&lt;&gt;"No"),AND(F93&lt;&gt;"Yes",F93&lt;&gt;"No")),"Use Yes or No","OK")))))))</f>
      </c>
    </row>
    <row r="94">
      <c r="G94" s="4">
        <f>IF(A94="","",IF(COUNTIF(Venues!$A$2:$A$201,A94)=0,"Unknown venue code",IF(OR(B94="",D94="",E94="",F94=""),"Missing details",IF(LEN(B94)&gt;80,"Name too long",IF(COUNTIFS($A$2:$A$1001,A94,$B$2:$B$1001,B94)&gt;1,"Duplicate court name",IF(AND(C94&lt;&gt;"",C94&lt;&gt;"Hard",C94&lt;&gt;"Synthetic",C94&lt;&gt;"Other",C94&lt;&gt;"Not sure"),"Unknown surface",IF(OR(AND(D94&lt;&gt;"Yes",D94&lt;&gt;"No"),AND(E94&lt;&gt;"Yes",E94&lt;&gt;"No"),AND(F94&lt;&gt;"Yes",F94&lt;&gt;"No")),"Use Yes or No","OK")))))))</f>
      </c>
    </row>
    <row r="95">
      <c r="G95" s="4">
        <f>IF(A95="","",IF(COUNTIF(Venues!$A$2:$A$201,A95)=0,"Unknown venue code",IF(OR(B95="",D95="",E95="",F95=""),"Missing details",IF(LEN(B95)&gt;80,"Name too long",IF(COUNTIFS($A$2:$A$1001,A95,$B$2:$B$1001,B95)&gt;1,"Duplicate court name",IF(AND(C95&lt;&gt;"",C95&lt;&gt;"Hard",C95&lt;&gt;"Synthetic",C95&lt;&gt;"Other",C95&lt;&gt;"Not sure"),"Unknown surface",IF(OR(AND(D95&lt;&gt;"Yes",D95&lt;&gt;"No"),AND(E95&lt;&gt;"Yes",E95&lt;&gt;"No"),AND(F95&lt;&gt;"Yes",F95&lt;&gt;"No")),"Use Yes or No","OK")))))))</f>
      </c>
    </row>
    <row r="96">
      <c r="G96" s="4">
        <f>IF(A96="","",IF(COUNTIF(Venues!$A$2:$A$201,A96)=0,"Unknown venue code",IF(OR(B96="",D96="",E96="",F96=""),"Missing details",IF(LEN(B96)&gt;80,"Name too long",IF(COUNTIFS($A$2:$A$1001,A96,$B$2:$B$1001,B96)&gt;1,"Duplicate court name",IF(AND(C96&lt;&gt;"",C96&lt;&gt;"Hard",C96&lt;&gt;"Synthetic",C96&lt;&gt;"Other",C96&lt;&gt;"Not sure"),"Unknown surface",IF(OR(AND(D96&lt;&gt;"Yes",D96&lt;&gt;"No"),AND(E96&lt;&gt;"Yes",E96&lt;&gt;"No"),AND(F96&lt;&gt;"Yes",F96&lt;&gt;"No")),"Use Yes or No","OK")))))))</f>
      </c>
    </row>
    <row r="97">
      <c r="G97" s="4">
        <f>IF(A97="","",IF(COUNTIF(Venues!$A$2:$A$201,A97)=0,"Unknown venue code",IF(OR(B97="",D97="",E97="",F97=""),"Missing details",IF(LEN(B97)&gt;80,"Name too long",IF(COUNTIFS($A$2:$A$1001,A97,$B$2:$B$1001,B97)&gt;1,"Duplicate court name",IF(AND(C97&lt;&gt;"",C97&lt;&gt;"Hard",C97&lt;&gt;"Synthetic",C97&lt;&gt;"Other",C97&lt;&gt;"Not sure"),"Unknown surface",IF(OR(AND(D97&lt;&gt;"Yes",D97&lt;&gt;"No"),AND(E97&lt;&gt;"Yes",E97&lt;&gt;"No"),AND(F97&lt;&gt;"Yes",F97&lt;&gt;"No")),"Use Yes or No","OK")))))))</f>
      </c>
    </row>
    <row r="98">
      <c r="G98" s="4">
        <f>IF(A98="","",IF(COUNTIF(Venues!$A$2:$A$201,A98)=0,"Unknown venue code",IF(OR(B98="",D98="",E98="",F98=""),"Missing details",IF(LEN(B98)&gt;80,"Name too long",IF(COUNTIFS($A$2:$A$1001,A98,$B$2:$B$1001,B98)&gt;1,"Duplicate court name",IF(AND(C98&lt;&gt;"",C98&lt;&gt;"Hard",C98&lt;&gt;"Synthetic",C98&lt;&gt;"Other",C98&lt;&gt;"Not sure"),"Unknown surface",IF(OR(AND(D98&lt;&gt;"Yes",D98&lt;&gt;"No"),AND(E98&lt;&gt;"Yes",E98&lt;&gt;"No"),AND(F98&lt;&gt;"Yes",F98&lt;&gt;"No")),"Use Yes or No","OK")))))))</f>
      </c>
    </row>
    <row r="99">
      <c r="G99" s="4">
        <f>IF(A99="","",IF(COUNTIF(Venues!$A$2:$A$201,A99)=0,"Unknown venue code",IF(OR(B99="",D99="",E99="",F99=""),"Missing details",IF(LEN(B99)&gt;80,"Name too long",IF(COUNTIFS($A$2:$A$1001,A99,$B$2:$B$1001,B99)&gt;1,"Duplicate court name",IF(AND(C99&lt;&gt;"",C99&lt;&gt;"Hard",C99&lt;&gt;"Synthetic",C99&lt;&gt;"Other",C99&lt;&gt;"Not sure"),"Unknown surface",IF(OR(AND(D99&lt;&gt;"Yes",D99&lt;&gt;"No"),AND(E99&lt;&gt;"Yes",E99&lt;&gt;"No"),AND(F99&lt;&gt;"Yes",F99&lt;&gt;"No")),"Use Yes or No","OK")))))))</f>
      </c>
    </row>
    <row r="100">
      <c r="G100" s="4">
        <f>IF(A100="","",IF(COUNTIF(Venues!$A$2:$A$201,A100)=0,"Unknown venue code",IF(OR(B100="",D100="",E100="",F100=""),"Missing details",IF(LEN(B100)&gt;80,"Name too long",IF(COUNTIFS($A$2:$A$1001,A100,$B$2:$B$1001,B100)&gt;1,"Duplicate court name",IF(AND(C100&lt;&gt;"",C100&lt;&gt;"Hard",C100&lt;&gt;"Synthetic",C100&lt;&gt;"Other",C100&lt;&gt;"Not sure"),"Unknown surface",IF(OR(AND(D100&lt;&gt;"Yes",D100&lt;&gt;"No"),AND(E100&lt;&gt;"Yes",E100&lt;&gt;"No"),AND(F100&lt;&gt;"Yes",F100&lt;&gt;"No")),"Use Yes or No","OK")))))))</f>
      </c>
    </row>
    <row r="101">
      <c r="G101" s="4">
        <f>IF(A101="","",IF(COUNTIF(Venues!$A$2:$A$201,A101)=0,"Unknown venue code",IF(OR(B101="",D101="",E101="",F101=""),"Missing details",IF(LEN(B101)&gt;80,"Name too long",IF(COUNTIFS($A$2:$A$1001,A101,$B$2:$B$1001,B101)&gt;1,"Duplicate court name",IF(AND(C101&lt;&gt;"",C101&lt;&gt;"Hard",C101&lt;&gt;"Synthetic",C101&lt;&gt;"Other",C101&lt;&gt;"Not sure"),"Unknown surface",IF(OR(AND(D101&lt;&gt;"Yes",D101&lt;&gt;"No"),AND(E101&lt;&gt;"Yes",E101&lt;&gt;"No"),AND(F101&lt;&gt;"Yes",F101&lt;&gt;"No")),"Use Yes or No","OK")))))))</f>
      </c>
    </row>
    <row r="102">
      <c r="G102" s="4">
        <f>IF(A102="","",IF(COUNTIF(Venues!$A$2:$A$201,A102)=0,"Unknown venue code",IF(OR(B102="",D102="",E102="",F102=""),"Missing details",IF(LEN(B102)&gt;80,"Name too long",IF(COUNTIFS($A$2:$A$1001,A102,$B$2:$B$1001,B102)&gt;1,"Duplicate court name",IF(AND(C102&lt;&gt;"",C102&lt;&gt;"Hard",C102&lt;&gt;"Synthetic",C102&lt;&gt;"Other",C102&lt;&gt;"Not sure"),"Unknown surface",IF(OR(AND(D102&lt;&gt;"Yes",D102&lt;&gt;"No"),AND(E102&lt;&gt;"Yes",E102&lt;&gt;"No"),AND(F102&lt;&gt;"Yes",F102&lt;&gt;"No")),"Use Yes or No","OK")))))))</f>
      </c>
    </row>
    <row r="103">
      <c r="G103" s="4">
        <f>IF(A103="","",IF(COUNTIF(Venues!$A$2:$A$201,A103)=0,"Unknown venue code",IF(OR(B103="",D103="",E103="",F103=""),"Missing details",IF(LEN(B103)&gt;80,"Name too long",IF(COUNTIFS($A$2:$A$1001,A103,$B$2:$B$1001,B103)&gt;1,"Duplicate court name",IF(AND(C103&lt;&gt;"",C103&lt;&gt;"Hard",C103&lt;&gt;"Synthetic",C103&lt;&gt;"Other",C103&lt;&gt;"Not sure"),"Unknown surface",IF(OR(AND(D103&lt;&gt;"Yes",D103&lt;&gt;"No"),AND(E103&lt;&gt;"Yes",E103&lt;&gt;"No"),AND(F103&lt;&gt;"Yes",F103&lt;&gt;"No")),"Use Yes or No","OK")))))))</f>
      </c>
    </row>
    <row r="104">
      <c r="G104" s="4">
        <f>IF(A104="","",IF(COUNTIF(Venues!$A$2:$A$201,A104)=0,"Unknown venue code",IF(OR(B104="",D104="",E104="",F104=""),"Missing details",IF(LEN(B104)&gt;80,"Name too long",IF(COUNTIFS($A$2:$A$1001,A104,$B$2:$B$1001,B104)&gt;1,"Duplicate court name",IF(AND(C104&lt;&gt;"",C104&lt;&gt;"Hard",C104&lt;&gt;"Synthetic",C104&lt;&gt;"Other",C104&lt;&gt;"Not sure"),"Unknown surface",IF(OR(AND(D104&lt;&gt;"Yes",D104&lt;&gt;"No"),AND(E104&lt;&gt;"Yes",E104&lt;&gt;"No"),AND(F104&lt;&gt;"Yes",F104&lt;&gt;"No")),"Use Yes or No","OK")))))))</f>
      </c>
    </row>
    <row r="105">
      <c r="G105" s="4">
        <f>IF(A105="","",IF(COUNTIF(Venues!$A$2:$A$201,A105)=0,"Unknown venue code",IF(OR(B105="",D105="",E105="",F105=""),"Missing details",IF(LEN(B105)&gt;80,"Name too long",IF(COUNTIFS($A$2:$A$1001,A105,$B$2:$B$1001,B105)&gt;1,"Duplicate court name",IF(AND(C105&lt;&gt;"",C105&lt;&gt;"Hard",C105&lt;&gt;"Synthetic",C105&lt;&gt;"Other",C105&lt;&gt;"Not sure"),"Unknown surface",IF(OR(AND(D105&lt;&gt;"Yes",D105&lt;&gt;"No"),AND(E105&lt;&gt;"Yes",E105&lt;&gt;"No"),AND(F105&lt;&gt;"Yes",F105&lt;&gt;"No")),"Use Yes or No","OK")))))))</f>
      </c>
    </row>
    <row r="106">
      <c r="G106" s="4">
        <f>IF(A106="","",IF(COUNTIF(Venues!$A$2:$A$201,A106)=0,"Unknown venue code",IF(OR(B106="",D106="",E106="",F106=""),"Missing details",IF(LEN(B106)&gt;80,"Name too long",IF(COUNTIFS($A$2:$A$1001,A106,$B$2:$B$1001,B106)&gt;1,"Duplicate court name",IF(AND(C106&lt;&gt;"",C106&lt;&gt;"Hard",C106&lt;&gt;"Synthetic",C106&lt;&gt;"Other",C106&lt;&gt;"Not sure"),"Unknown surface",IF(OR(AND(D106&lt;&gt;"Yes",D106&lt;&gt;"No"),AND(E106&lt;&gt;"Yes",E106&lt;&gt;"No"),AND(F106&lt;&gt;"Yes",F106&lt;&gt;"No")),"Use Yes or No","OK")))))))</f>
      </c>
    </row>
    <row r="107">
      <c r="G107" s="4">
        <f>IF(A107="","",IF(COUNTIF(Venues!$A$2:$A$201,A107)=0,"Unknown venue code",IF(OR(B107="",D107="",E107="",F107=""),"Missing details",IF(LEN(B107)&gt;80,"Name too long",IF(COUNTIFS($A$2:$A$1001,A107,$B$2:$B$1001,B107)&gt;1,"Duplicate court name",IF(AND(C107&lt;&gt;"",C107&lt;&gt;"Hard",C107&lt;&gt;"Synthetic",C107&lt;&gt;"Other",C107&lt;&gt;"Not sure"),"Unknown surface",IF(OR(AND(D107&lt;&gt;"Yes",D107&lt;&gt;"No"),AND(E107&lt;&gt;"Yes",E107&lt;&gt;"No"),AND(F107&lt;&gt;"Yes",F107&lt;&gt;"No")),"Use Yes or No","OK")))))))</f>
      </c>
    </row>
    <row r="108">
      <c r="G108" s="4">
        <f>IF(A108="","",IF(COUNTIF(Venues!$A$2:$A$201,A108)=0,"Unknown venue code",IF(OR(B108="",D108="",E108="",F108=""),"Missing details",IF(LEN(B108)&gt;80,"Name too long",IF(COUNTIFS($A$2:$A$1001,A108,$B$2:$B$1001,B108)&gt;1,"Duplicate court name",IF(AND(C108&lt;&gt;"",C108&lt;&gt;"Hard",C108&lt;&gt;"Synthetic",C108&lt;&gt;"Other",C108&lt;&gt;"Not sure"),"Unknown surface",IF(OR(AND(D108&lt;&gt;"Yes",D108&lt;&gt;"No"),AND(E108&lt;&gt;"Yes",E108&lt;&gt;"No"),AND(F108&lt;&gt;"Yes",F108&lt;&gt;"No")),"Use Yes or No","OK")))))))</f>
      </c>
    </row>
    <row r="109">
      <c r="G109" s="4">
        <f>IF(A109="","",IF(COUNTIF(Venues!$A$2:$A$201,A109)=0,"Unknown venue code",IF(OR(B109="",D109="",E109="",F109=""),"Missing details",IF(LEN(B109)&gt;80,"Name too long",IF(COUNTIFS($A$2:$A$1001,A109,$B$2:$B$1001,B109)&gt;1,"Duplicate court name",IF(AND(C109&lt;&gt;"",C109&lt;&gt;"Hard",C109&lt;&gt;"Synthetic",C109&lt;&gt;"Other",C109&lt;&gt;"Not sure"),"Unknown surface",IF(OR(AND(D109&lt;&gt;"Yes",D109&lt;&gt;"No"),AND(E109&lt;&gt;"Yes",E109&lt;&gt;"No"),AND(F109&lt;&gt;"Yes",F109&lt;&gt;"No")),"Use Yes or No","OK")))))))</f>
      </c>
    </row>
    <row r="110">
      <c r="G110" s="4">
        <f>IF(A110="","",IF(COUNTIF(Venues!$A$2:$A$201,A110)=0,"Unknown venue code",IF(OR(B110="",D110="",E110="",F110=""),"Missing details",IF(LEN(B110)&gt;80,"Name too long",IF(COUNTIFS($A$2:$A$1001,A110,$B$2:$B$1001,B110)&gt;1,"Duplicate court name",IF(AND(C110&lt;&gt;"",C110&lt;&gt;"Hard",C110&lt;&gt;"Synthetic",C110&lt;&gt;"Other",C110&lt;&gt;"Not sure"),"Unknown surface",IF(OR(AND(D110&lt;&gt;"Yes",D110&lt;&gt;"No"),AND(E110&lt;&gt;"Yes",E110&lt;&gt;"No"),AND(F110&lt;&gt;"Yes",F110&lt;&gt;"No")),"Use Yes or No","OK")))))))</f>
      </c>
    </row>
    <row r="111">
      <c r="G111" s="4">
        <f>IF(A111="","",IF(COUNTIF(Venues!$A$2:$A$201,A111)=0,"Unknown venue code",IF(OR(B111="",D111="",E111="",F111=""),"Missing details",IF(LEN(B111)&gt;80,"Name too long",IF(COUNTIFS($A$2:$A$1001,A111,$B$2:$B$1001,B111)&gt;1,"Duplicate court name",IF(AND(C111&lt;&gt;"",C111&lt;&gt;"Hard",C111&lt;&gt;"Synthetic",C111&lt;&gt;"Other",C111&lt;&gt;"Not sure"),"Unknown surface",IF(OR(AND(D111&lt;&gt;"Yes",D111&lt;&gt;"No"),AND(E111&lt;&gt;"Yes",E111&lt;&gt;"No"),AND(F111&lt;&gt;"Yes",F111&lt;&gt;"No")),"Use Yes or No","OK")))))))</f>
      </c>
    </row>
    <row r="112">
      <c r="G112" s="4">
        <f>IF(A112="","",IF(COUNTIF(Venues!$A$2:$A$201,A112)=0,"Unknown venue code",IF(OR(B112="",D112="",E112="",F112=""),"Missing details",IF(LEN(B112)&gt;80,"Name too long",IF(COUNTIFS($A$2:$A$1001,A112,$B$2:$B$1001,B112)&gt;1,"Duplicate court name",IF(AND(C112&lt;&gt;"",C112&lt;&gt;"Hard",C112&lt;&gt;"Synthetic",C112&lt;&gt;"Other",C112&lt;&gt;"Not sure"),"Unknown surface",IF(OR(AND(D112&lt;&gt;"Yes",D112&lt;&gt;"No"),AND(E112&lt;&gt;"Yes",E112&lt;&gt;"No"),AND(F112&lt;&gt;"Yes",F112&lt;&gt;"No")),"Use Yes or No","OK")))))))</f>
      </c>
    </row>
    <row r="113">
      <c r="G113" s="4">
        <f>IF(A113="","",IF(COUNTIF(Venues!$A$2:$A$201,A113)=0,"Unknown venue code",IF(OR(B113="",D113="",E113="",F113=""),"Missing details",IF(LEN(B113)&gt;80,"Name too long",IF(COUNTIFS($A$2:$A$1001,A113,$B$2:$B$1001,B113)&gt;1,"Duplicate court name",IF(AND(C113&lt;&gt;"",C113&lt;&gt;"Hard",C113&lt;&gt;"Synthetic",C113&lt;&gt;"Other",C113&lt;&gt;"Not sure"),"Unknown surface",IF(OR(AND(D113&lt;&gt;"Yes",D113&lt;&gt;"No"),AND(E113&lt;&gt;"Yes",E113&lt;&gt;"No"),AND(F113&lt;&gt;"Yes",F113&lt;&gt;"No")),"Use Yes or No","OK")))))))</f>
      </c>
    </row>
    <row r="114">
      <c r="G114" s="4">
        <f>IF(A114="","",IF(COUNTIF(Venues!$A$2:$A$201,A114)=0,"Unknown venue code",IF(OR(B114="",D114="",E114="",F114=""),"Missing details",IF(LEN(B114)&gt;80,"Name too long",IF(COUNTIFS($A$2:$A$1001,A114,$B$2:$B$1001,B114)&gt;1,"Duplicate court name",IF(AND(C114&lt;&gt;"",C114&lt;&gt;"Hard",C114&lt;&gt;"Synthetic",C114&lt;&gt;"Other",C114&lt;&gt;"Not sure"),"Unknown surface",IF(OR(AND(D114&lt;&gt;"Yes",D114&lt;&gt;"No"),AND(E114&lt;&gt;"Yes",E114&lt;&gt;"No"),AND(F114&lt;&gt;"Yes",F114&lt;&gt;"No")),"Use Yes or No","OK")))))))</f>
      </c>
    </row>
    <row r="115">
      <c r="G115" s="4">
        <f>IF(A115="","",IF(COUNTIF(Venues!$A$2:$A$201,A115)=0,"Unknown venue code",IF(OR(B115="",D115="",E115="",F115=""),"Missing details",IF(LEN(B115)&gt;80,"Name too long",IF(COUNTIFS($A$2:$A$1001,A115,$B$2:$B$1001,B115)&gt;1,"Duplicate court name",IF(AND(C115&lt;&gt;"",C115&lt;&gt;"Hard",C115&lt;&gt;"Synthetic",C115&lt;&gt;"Other",C115&lt;&gt;"Not sure"),"Unknown surface",IF(OR(AND(D115&lt;&gt;"Yes",D115&lt;&gt;"No"),AND(E115&lt;&gt;"Yes",E115&lt;&gt;"No"),AND(F115&lt;&gt;"Yes",F115&lt;&gt;"No")),"Use Yes or No","OK")))))))</f>
      </c>
    </row>
    <row r="116">
      <c r="G116" s="4">
        <f>IF(A116="","",IF(COUNTIF(Venues!$A$2:$A$201,A116)=0,"Unknown venue code",IF(OR(B116="",D116="",E116="",F116=""),"Missing details",IF(LEN(B116)&gt;80,"Name too long",IF(COUNTIFS($A$2:$A$1001,A116,$B$2:$B$1001,B116)&gt;1,"Duplicate court name",IF(AND(C116&lt;&gt;"",C116&lt;&gt;"Hard",C116&lt;&gt;"Synthetic",C116&lt;&gt;"Other",C116&lt;&gt;"Not sure"),"Unknown surface",IF(OR(AND(D116&lt;&gt;"Yes",D116&lt;&gt;"No"),AND(E116&lt;&gt;"Yes",E116&lt;&gt;"No"),AND(F116&lt;&gt;"Yes",F116&lt;&gt;"No")),"Use Yes or No","OK")))))))</f>
      </c>
    </row>
    <row r="117">
      <c r="G117" s="4">
        <f>IF(A117="","",IF(COUNTIF(Venues!$A$2:$A$201,A117)=0,"Unknown venue code",IF(OR(B117="",D117="",E117="",F117=""),"Missing details",IF(LEN(B117)&gt;80,"Name too long",IF(COUNTIFS($A$2:$A$1001,A117,$B$2:$B$1001,B117)&gt;1,"Duplicate court name",IF(AND(C117&lt;&gt;"",C117&lt;&gt;"Hard",C117&lt;&gt;"Synthetic",C117&lt;&gt;"Other",C117&lt;&gt;"Not sure"),"Unknown surface",IF(OR(AND(D117&lt;&gt;"Yes",D117&lt;&gt;"No"),AND(E117&lt;&gt;"Yes",E117&lt;&gt;"No"),AND(F117&lt;&gt;"Yes",F117&lt;&gt;"No")),"Use Yes or No","OK")))))))</f>
      </c>
    </row>
    <row r="118">
      <c r="G118" s="4">
        <f>IF(A118="","",IF(COUNTIF(Venues!$A$2:$A$201,A118)=0,"Unknown venue code",IF(OR(B118="",D118="",E118="",F118=""),"Missing details",IF(LEN(B118)&gt;80,"Name too long",IF(COUNTIFS($A$2:$A$1001,A118,$B$2:$B$1001,B118)&gt;1,"Duplicate court name",IF(AND(C118&lt;&gt;"",C118&lt;&gt;"Hard",C118&lt;&gt;"Synthetic",C118&lt;&gt;"Other",C118&lt;&gt;"Not sure"),"Unknown surface",IF(OR(AND(D118&lt;&gt;"Yes",D118&lt;&gt;"No"),AND(E118&lt;&gt;"Yes",E118&lt;&gt;"No"),AND(F118&lt;&gt;"Yes",F118&lt;&gt;"No")),"Use Yes or No","OK")))))))</f>
      </c>
    </row>
    <row r="119">
      <c r="G119" s="4">
        <f>IF(A119="","",IF(COUNTIF(Venues!$A$2:$A$201,A119)=0,"Unknown venue code",IF(OR(B119="",D119="",E119="",F119=""),"Missing details",IF(LEN(B119)&gt;80,"Name too long",IF(COUNTIFS($A$2:$A$1001,A119,$B$2:$B$1001,B119)&gt;1,"Duplicate court name",IF(AND(C119&lt;&gt;"",C119&lt;&gt;"Hard",C119&lt;&gt;"Synthetic",C119&lt;&gt;"Other",C119&lt;&gt;"Not sure"),"Unknown surface",IF(OR(AND(D119&lt;&gt;"Yes",D119&lt;&gt;"No"),AND(E119&lt;&gt;"Yes",E119&lt;&gt;"No"),AND(F119&lt;&gt;"Yes",F119&lt;&gt;"No")),"Use Yes or No","OK")))))))</f>
      </c>
    </row>
    <row r="120">
      <c r="G120" s="4">
        <f>IF(A120="","",IF(COUNTIF(Venues!$A$2:$A$201,A120)=0,"Unknown venue code",IF(OR(B120="",D120="",E120="",F120=""),"Missing details",IF(LEN(B120)&gt;80,"Name too long",IF(COUNTIFS($A$2:$A$1001,A120,$B$2:$B$1001,B120)&gt;1,"Duplicate court name",IF(AND(C120&lt;&gt;"",C120&lt;&gt;"Hard",C120&lt;&gt;"Synthetic",C120&lt;&gt;"Other",C120&lt;&gt;"Not sure"),"Unknown surface",IF(OR(AND(D120&lt;&gt;"Yes",D120&lt;&gt;"No"),AND(E120&lt;&gt;"Yes",E120&lt;&gt;"No"),AND(F120&lt;&gt;"Yes",F120&lt;&gt;"No")),"Use Yes or No","OK")))))))</f>
      </c>
    </row>
    <row r="121">
      <c r="G121" s="4">
        <f>IF(A121="","",IF(COUNTIF(Venues!$A$2:$A$201,A121)=0,"Unknown venue code",IF(OR(B121="",D121="",E121="",F121=""),"Missing details",IF(LEN(B121)&gt;80,"Name too long",IF(COUNTIFS($A$2:$A$1001,A121,$B$2:$B$1001,B121)&gt;1,"Duplicate court name",IF(AND(C121&lt;&gt;"",C121&lt;&gt;"Hard",C121&lt;&gt;"Synthetic",C121&lt;&gt;"Other",C121&lt;&gt;"Not sure"),"Unknown surface",IF(OR(AND(D121&lt;&gt;"Yes",D121&lt;&gt;"No"),AND(E121&lt;&gt;"Yes",E121&lt;&gt;"No"),AND(F121&lt;&gt;"Yes",F121&lt;&gt;"No")),"Use Yes or No","OK")))))))</f>
      </c>
    </row>
    <row r="122">
      <c r="G122" s="4">
        <f>IF(A122="","",IF(COUNTIF(Venues!$A$2:$A$201,A122)=0,"Unknown venue code",IF(OR(B122="",D122="",E122="",F122=""),"Missing details",IF(LEN(B122)&gt;80,"Name too long",IF(COUNTIFS($A$2:$A$1001,A122,$B$2:$B$1001,B122)&gt;1,"Duplicate court name",IF(AND(C122&lt;&gt;"",C122&lt;&gt;"Hard",C122&lt;&gt;"Synthetic",C122&lt;&gt;"Other",C122&lt;&gt;"Not sure"),"Unknown surface",IF(OR(AND(D122&lt;&gt;"Yes",D122&lt;&gt;"No"),AND(E122&lt;&gt;"Yes",E122&lt;&gt;"No"),AND(F122&lt;&gt;"Yes",F122&lt;&gt;"No")),"Use Yes or No","OK")))))))</f>
      </c>
    </row>
    <row r="123">
      <c r="G123" s="4">
        <f>IF(A123="","",IF(COUNTIF(Venues!$A$2:$A$201,A123)=0,"Unknown venue code",IF(OR(B123="",D123="",E123="",F123=""),"Missing details",IF(LEN(B123)&gt;80,"Name too long",IF(COUNTIFS($A$2:$A$1001,A123,$B$2:$B$1001,B123)&gt;1,"Duplicate court name",IF(AND(C123&lt;&gt;"",C123&lt;&gt;"Hard",C123&lt;&gt;"Synthetic",C123&lt;&gt;"Other",C123&lt;&gt;"Not sure"),"Unknown surface",IF(OR(AND(D123&lt;&gt;"Yes",D123&lt;&gt;"No"),AND(E123&lt;&gt;"Yes",E123&lt;&gt;"No"),AND(F123&lt;&gt;"Yes",F123&lt;&gt;"No")),"Use Yes or No","OK")))))))</f>
      </c>
    </row>
    <row r="124">
      <c r="G124" s="4">
        <f>IF(A124="","",IF(COUNTIF(Venues!$A$2:$A$201,A124)=0,"Unknown venue code",IF(OR(B124="",D124="",E124="",F124=""),"Missing details",IF(LEN(B124)&gt;80,"Name too long",IF(COUNTIFS($A$2:$A$1001,A124,$B$2:$B$1001,B124)&gt;1,"Duplicate court name",IF(AND(C124&lt;&gt;"",C124&lt;&gt;"Hard",C124&lt;&gt;"Synthetic",C124&lt;&gt;"Other",C124&lt;&gt;"Not sure"),"Unknown surface",IF(OR(AND(D124&lt;&gt;"Yes",D124&lt;&gt;"No"),AND(E124&lt;&gt;"Yes",E124&lt;&gt;"No"),AND(F124&lt;&gt;"Yes",F124&lt;&gt;"No")),"Use Yes or No","OK")))))))</f>
      </c>
    </row>
    <row r="125">
      <c r="G125" s="4">
        <f>IF(A125="","",IF(COUNTIF(Venues!$A$2:$A$201,A125)=0,"Unknown venue code",IF(OR(B125="",D125="",E125="",F125=""),"Missing details",IF(LEN(B125)&gt;80,"Name too long",IF(COUNTIFS($A$2:$A$1001,A125,$B$2:$B$1001,B125)&gt;1,"Duplicate court name",IF(AND(C125&lt;&gt;"",C125&lt;&gt;"Hard",C125&lt;&gt;"Synthetic",C125&lt;&gt;"Other",C125&lt;&gt;"Not sure"),"Unknown surface",IF(OR(AND(D125&lt;&gt;"Yes",D125&lt;&gt;"No"),AND(E125&lt;&gt;"Yes",E125&lt;&gt;"No"),AND(F125&lt;&gt;"Yes",F125&lt;&gt;"No")),"Use Yes or No","OK")))))))</f>
      </c>
    </row>
    <row r="126">
      <c r="G126" s="4">
        <f>IF(A126="","",IF(COUNTIF(Venues!$A$2:$A$201,A126)=0,"Unknown venue code",IF(OR(B126="",D126="",E126="",F126=""),"Missing details",IF(LEN(B126)&gt;80,"Name too long",IF(COUNTIFS($A$2:$A$1001,A126,$B$2:$B$1001,B126)&gt;1,"Duplicate court name",IF(AND(C126&lt;&gt;"",C126&lt;&gt;"Hard",C126&lt;&gt;"Synthetic",C126&lt;&gt;"Other",C126&lt;&gt;"Not sure"),"Unknown surface",IF(OR(AND(D126&lt;&gt;"Yes",D126&lt;&gt;"No"),AND(E126&lt;&gt;"Yes",E126&lt;&gt;"No"),AND(F126&lt;&gt;"Yes",F126&lt;&gt;"No")),"Use Yes or No","OK")))))))</f>
      </c>
    </row>
    <row r="127">
      <c r="G127" s="4">
        <f>IF(A127="","",IF(COUNTIF(Venues!$A$2:$A$201,A127)=0,"Unknown venue code",IF(OR(B127="",D127="",E127="",F127=""),"Missing details",IF(LEN(B127)&gt;80,"Name too long",IF(COUNTIFS($A$2:$A$1001,A127,$B$2:$B$1001,B127)&gt;1,"Duplicate court name",IF(AND(C127&lt;&gt;"",C127&lt;&gt;"Hard",C127&lt;&gt;"Synthetic",C127&lt;&gt;"Other",C127&lt;&gt;"Not sure"),"Unknown surface",IF(OR(AND(D127&lt;&gt;"Yes",D127&lt;&gt;"No"),AND(E127&lt;&gt;"Yes",E127&lt;&gt;"No"),AND(F127&lt;&gt;"Yes",F127&lt;&gt;"No")),"Use Yes or No","OK")))))))</f>
      </c>
    </row>
    <row r="128">
      <c r="G128" s="4">
        <f>IF(A128="","",IF(COUNTIF(Venues!$A$2:$A$201,A128)=0,"Unknown venue code",IF(OR(B128="",D128="",E128="",F128=""),"Missing details",IF(LEN(B128)&gt;80,"Name too long",IF(COUNTIFS($A$2:$A$1001,A128,$B$2:$B$1001,B128)&gt;1,"Duplicate court name",IF(AND(C128&lt;&gt;"",C128&lt;&gt;"Hard",C128&lt;&gt;"Synthetic",C128&lt;&gt;"Other",C128&lt;&gt;"Not sure"),"Unknown surface",IF(OR(AND(D128&lt;&gt;"Yes",D128&lt;&gt;"No"),AND(E128&lt;&gt;"Yes",E128&lt;&gt;"No"),AND(F128&lt;&gt;"Yes",F128&lt;&gt;"No")),"Use Yes or No","OK")))))))</f>
      </c>
    </row>
    <row r="129">
      <c r="G129" s="4">
        <f>IF(A129="","",IF(COUNTIF(Venues!$A$2:$A$201,A129)=0,"Unknown venue code",IF(OR(B129="",D129="",E129="",F129=""),"Missing details",IF(LEN(B129)&gt;80,"Name too long",IF(COUNTIFS($A$2:$A$1001,A129,$B$2:$B$1001,B129)&gt;1,"Duplicate court name",IF(AND(C129&lt;&gt;"",C129&lt;&gt;"Hard",C129&lt;&gt;"Synthetic",C129&lt;&gt;"Other",C129&lt;&gt;"Not sure"),"Unknown surface",IF(OR(AND(D129&lt;&gt;"Yes",D129&lt;&gt;"No"),AND(E129&lt;&gt;"Yes",E129&lt;&gt;"No"),AND(F129&lt;&gt;"Yes",F129&lt;&gt;"No")),"Use Yes or No","OK")))))))</f>
      </c>
    </row>
    <row r="130">
      <c r="G130" s="4">
        <f>IF(A130="","",IF(COUNTIF(Venues!$A$2:$A$201,A130)=0,"Unknown venue code",IF(OR(B130="",D130="",E130="",F130=""),"Missing details",IF(LEN(B130)&gt;80,"Name too long",IF(COUNTIFS($A$2:$A$1001,A130,$B$2:$B$1001,B130)&gt;1,"Duplicate court name",IF(AND(C130&lt;&gt;"",C130&lt;&gt;"Hard",C130&lt;&gt;"Synthetic",C130&lt;&gt;"Other",C130&lt;&gt;"Not sure"),"Unknown surface",IF(OR(AND(D130&lt;&gt;"Yes",D130&lt;&gt;"No"),AND(E130&lt;&gt;"Yes",E130&lt;&gt;"No"),AND(F130&lt;&gt;"Yes",F130&lt;&gt;"No")),"Use Yes or No","OK")))))))</f>
      </c>
    </row>
    <row r="131">
      <c r="G131" s="4">
        <f>IF(A131="","",IF(COUNTIF(Venues!$A$2:$A$201,A131)=0,"Unknown venue code",IF(OR(B131="",D131="",E131="",F131=""),"Missing details",IF(LEN(B131)&gt;80,"Name too long",IF(COUNTIFS($A$2:$A$1001,A131,$B$2:$B$1001,B131)&gt;1,"Duplicate court name",IF(AND(C131&lt;&gt;"",C131&lt;&gt;"Hard",C131&lt;&gt;"Synthetic",C131&lt;&gt;"Other",C131&lt;&gt;"Not sure"),"Unknown surface",IF(OR(AND(D131&lt;&gt;"Yes",D131&lt;&gt;"No"),AND(E131&lt;&gt;"Yes",E131&lt;&gt;"No"),AND(F131&lt;&gt;"Yes",F131&lt;&gt;"No")),"Use Yes or No","OK")))))))</f>
      </c>
    </row>
    <row r="132">
      <c r="G132" s="4">
        <f>IF(A132="","",IF(COUNTIF(Venues!$A$2:$A$201,A132)=0,"Unknown venue code",IF(OR(B132="",D132="",E132="",F132=""),"Missing details",IF(LEN(B132)&gt;80,"Name too long",IF(COUNTIFS($A$2:$A$1001,A132,$B$2:$B$1001,B132)&gt;1,"Duplicate court name",IF(AND(C132&lt;&gt;"",C132&lt;&gt;"Hard",C132&lt;&gt;"Synthetic",C132&lt;&gt;"Other",C132&lt;&gt;"Not sure"),"Unknown surface",IF(OR(AND(D132&lt;&gt;"Yes",D132&lt;&gt;"No"),AND(E132&lt;&gt;"Yes",E132&lt;&gt;"No"),AND(F132&lt;&gt;"Yes",F132&lt;&gt;"No")),"Use Yes or No","OK")))))))</f>
      </c>
    </row>
    <row r="133">
      <c r="G133" s="4">
        <f>IF(A133="","",IF(COUNTIF(Venues!$A$2:$A$201,A133)=0,"Unknown venue code",IF(OR(B133="",D133="",E133="",F133=""),"Missing details",IF(LEN(B133)&gt;80,"Name too long",IF(COUNTIFS($A$2:$A$1001,A133,$B$2:$B$1001,B133)&gt;1,"Duplicate court name",IF(AND(C133&lt;&gt;"",C133&lt;&gt;"Hard",C133&lt;&gt;"Synthetic",C133&lt;&gt;"Other",C133&lt;&gt;"Not sure"),"Unknown surface",IF(OR(AND(D133&lt;&gt;"Yes",D133&lt;&gt;"No"),AND(E133&lt;&gt;"Yes",E133&lt;&gt;"No"),AND(F133&lt;&gt;"Yes",F133&lt;&gt;"No")),"Use Yes or No","OK")))))))</f>
      </c>
    </row>
    <row r="134">
      <c r="G134" s="4">
        <f>IF(A134="","",IF(COUNTIF(Venues!$A$2:$A$201,A134)=0,"Unknown venue code",IF(OR(B134="",D134="",E134="",F134=""),"Missing details",IF(LEN(B134)&gt;80,"Name too long",IF(COUNTIFS($A$2:$A$1001,A134,$B$2:$B$1001,B134)&gt;1,"Duplicate court name",IF(AND(C134&lt;&gt;"",C134&lt;&gt;"Hard",C134&lt;&gt;"Synthetic",C134&lt;&gt;"Other",C134&lt;&gt;"Not sure"),"Unknown surface",IF(OR(AND(D134&lt;&gt;"Yes",D134&lt;&gt;"No"),AND(E134&lt;&gt;"Yes",E134&lt;&gt;"No"),AND(F134&lt;&gt;"Yes",F134&lt;&gt;"No")),"Use Yes or No","OK")))))))</f>
      </c>
    </row>
    <row r="135">
      <c r="G135" s="4">
        <f>IF(A135="","",IF(COUNTIF(Venues!$A$2:$A$201,A135)=0,"Unknown venue code",IF(OR(B135="",D135="",E135="",F135=""),"Missing details",IF(LEN(B135)&gt;80,"Name too long",IF(COUNTIFS($A$2:$A$1001,A135,$B$2:$B$1001,B135)&gt;1,"Duplicate court name",IF(AND(C135&lt;&gt;"",C135&lt;&gt;"Hard",C135&lt;&gt;"Synthetic",C135&lt;&gt;"Other",C135&lt;&gt;"Not sure"),"Unknown surface",IF(OR(AND(D135&lt;&gt;"Yes",D135&lt;&gt;"No"),AND(E135&lt;&gt;"Yes",E135&lt;&gt;"No"),AND(F135&lt;&gt;"Yes",F135&lt;&gt;"No")),"Use Yes or No","OK")))))))</f>
      </c>
    </row>
    <row r="136">
      <c r="G136" s="4">
        <f>IF(A136="","",IF(COUNTIF(Venues!$A$2:$A$201,A136)=0,"Unknown venue code",IF(OR(B136="",D136="",E136="",F136=""),"Missing details",IF(LEN(B136)&gt;80,"Name too long",IF(COUNTIFS($A$2:$A$1001,A136,$B$2:$B$1001,B136)&gt;1,"Duplicate court name",IF(AND(C136&lt;&gt;"",C136&lt;&gt;"Hard",C136&lt;&gt;"Synthetic",C136&lt;&gt;"Other",C136&lt;&gt;"Not sure"),"Unknown surface",IF(OR(AND(D136&lt;&gt;"Yes",D136&lt;&gt;"No"),AND(E136&lt;&gt;"Yes",E136&lt;&gt;"No"),AND(F136&lt;&gt;"Yes",F136&lt;&gt;"No")),"Use Yes or No","OK")))))))</f>
      </c>
    </row>
    <row r="137">
      <c r="G137" s="4">
        <f>IF(A137="","",IF(COUNTIF(Venues!$A$2:$A$201,A137)=0,"Unknown venue code",IF(OR(B137="",D137="",E137="",F137=""),"Missing details",IF(LEN(B137)&gt;80,"Name too long",IF(COUNTIFS($A$2:$A$1001,A137,$B$2:$B$1001,B137)&gt;1,"Duplicate court name",IF(AND(C137&lt;&gt;"",C137&lt;&gt;"Hard",C137&lt;&gt;"Synthetic",C137&lt;&gt;"Other",C137&lt;&gt;"Not sure"),"Unknown surface",IF(OR(AND(D137&lt;&gt;"Yes",D137&lt;&gt;"No"),AND(E137&lt;&gt;"Yes",E137&lt;&gt;"No"),AND(F137&lt;&gt;"Yes",F137&lt;&gt;"No")),"Use Yes or No","OK")))))))</f>
      </c>
    </row>
    <row r="138">
      <c r="G138" s="4">
        <f>IF(A138="","",IF(COUNTIF(Venues!$A$2:$A$201,A138)=0,"Unknown venue code",IF(OR(B138="",D138="",E138="",F138=""),"Missing details",IF(LEN(B138)&gt;80,"Name too long",IF(COUNTIFS($A$2:$A$1001,A138,$B$2:$B$1001,B138)&gt;1,"Duplicate court name",IF(AND(C138&lt;&gt;"",C138&lt;&gt;"Hard",C138&lt;&gt;"Synthetic",C138&lt;&gt;"Other",C138&lt;&gt;"Not sure"),"Unknown surface",IF(OR(AND(D138&lt;&gt;"Yes",D138&lt;&gt;"No"),AND(E138&lt;&gt;"Yes",E138&lt;&gt;"No"),AND(F138&lt;&gt;"Yes",F138&lt;&gt;"No")),"Use Yes or No","OK")))))))</f>
      </c>
    </row>
    <row r="139">
      <c r="G139" s="4">
        <f>IF(A139="","",IF(COUNTIF(Venues!$A$2:$A$201,A139)=0,"Unknown venue code",IF(OR(B139="",D139="",E139="",F139=""),"Missing details",IF(LEN(B139)&gt;80,"Name too long",IF(COUNTIFS($A$2:$A$1001,A139,$B$2:$B$1001,B139)&gt;1,"Duplicate court name",IF(AND(C139&lt;&gt;"",C139&lt;&gt;"Hard",C139&lt;&gt;"Synthetic",C139&lt;&gt;"Other",C139&lt;&gt;"Not sure"),"Unknown surface",IF(OR(AND(D139&lt;&gt;"Yes",D139&lt;&gt;"No"),AND(E139&lt;&gt;"Yes",E139&lt;&gt;"No"),AND(F139&lt;&gt;"Yes",F139&lt;&gt;"No")),"Use Yes or No","OK")))))))</f>
      </c>
    </row>
    <row r="140">
      <c r="G140" s="4">
        <f>IF(A140="","",IF(COUNTIF(Venues!$A$2:$A$201,A140)=0,"Unknown venue code",IF(OR(B140="",D140="",E140="",F140=""),"Missing details",IF(LEN(B140)&gt;80,"Name too long",IF(COUNTIFS($A$2:$A$1001,A140,$B$2:$B$1001,B140)&gt;1,"Duplicate court name",IF(AND(C140&lt;&gt;"",C140&lt;&gt;"Hard",C140&lt;&gt;"Synthetic",C140&lt;&gt;"Other",C140&lt;&gt;"Not sure"),"Unknown surface",IF(OR(AND(D140&lt;&gt;"Yes",D140&lt;&gt;"No"),AND(E140&lt;&gt;"Yes",E140&lt;&gt;"No"),AND(F140&lt;&gt;"Yes",F140&lt;&gt;"No")),"Use Yes or No","OK")))))))</f>
      </c>
    </row>
    <row r="141">
      <c r="G141" s="4">
        <f>IF(A141="","",IF(COUNTIF(Venues!$A$2:$A$201,A141)=0,"Unknown venue code",IF(OR(B141="",D141="",E141="",F141=""),"Missing details",IF(LEN(B141)&gt;80,"Name too long",IF(COUNTIFS($A$2:$A$1001,A141,$B$2:$B$1001,B141)&gt;1,"Duplicate court name",IF(AND(C141&lt;&gt;"",C141&lt;&gt;"Hard",C141&lt;&gt;"Synthetic",C141&lt;&gt;"Other",C141&lt;&gt;"Not sure"),"Unknown surface",IF(OR(AND(D141&lt;&gt;"Yes",D141&lt;&gt;"No"),AND(E141&lt;&gt;"Yes",E141&lt;&gt;"No"),AND(F141&lt;&gt;"Yes",F141&lt;&gt;"No")),"Use Yes or No","OK")))))))</f>
      </c>
    </row>
    <row r="142">
      <c r="G142" s="4">
        <f>IF(A142="","",IF(COUNTIF(Venues!$A$2:$A$201,A142)=0,"Unknown venue code",IF(OR(B142="",D142="",E142="",F142=""),"Missing details",IF(LEN(B142)&gt;80,"Name too long",IF(COUNTIFS($A$2:$A$1001,A142,$B$2:$B$1001,B142)&gt;1,"Duplicate court name",IF(AND(C142&lt;&gt;"",C142&lt;&gt;"Hard",C142&lt;&gt;"Synthetic",C142&lt;&gt;"Other",C142&lt;&gt;"Not sure"),"Unknown surface",IF(OR(AND(D142&lt;&gt;"Yes",D142&lt;&gt;"No"),AND(E142&lt;&gt;"Yes",E142&lt;&gt;"No"),AND(F142&lt;&gt;"Yes",F142&lt;&gt;"No")),"Use Yes or No","OK")))))))</f>
      </c>
    </row>
    <row r="143">
      <c r="G143" s="4">
        <f>IF(A143="","",IF(COUNTIF(Venues!$A$2:$A$201,A143)=0,"Unknown venue code",IF(OR(B143="",D143="",E143="",F143=""),"Missing details",IF(LEN(B143)&gt;80,"Name too long",IF(COUNTIFS($A$2:$A$1001,A143,$B$2:$B$1001,B143)&gt;1,"Duplicate court name",IF(AND(C143&lt;&gt;"",C143&lt;&gt;"Hard",C143&lt;&gt;"Synthetic",C143&lt;&gt;"Other",C143&lt;&gt;"Not sure"),"Unknown surface",IF(OR(AND(D143&lt;&gt;"Yes",D143&lt;&gt;"No"),AND(E143&lt;&gt;"Yes",E143&lt;&gt;"No"),AND(F143&lt;&gt;"Yes",F143&lt;&gt;"No")),"Use Yes or No","OK")))))))</f>
      </c>
    </row>
    <row r="144">
      <c r="G144" s="4">
        <f>IF(A144="","",IF(COUNTIF(Venues!$A$2:$A$201,A144)=0,"Unknown venue code",IF(OR(B144="",D144="",E144="",F144=""),"Missing details",IF(LEN(B144)&gt;80,"Name too long",IF(COUNTIFS($A$2:$A$1001,A144,$B$2:$B$1001,B144)&gt;1,"Duplicate court name",IF(AND(C144&lt;&gt;"",C144&lt;&gt;"Hard",C144&lt;&gt;"Synthetic",C144&lt;&gt;"Other",C144&lt;&gt;"Not sure"),"Unknown surface",IF(OR(AND(D144&lt;&gt;"Yes",D144&lt;&gt;"No"),AND(E144&lt;&gt;"Yes",E144&lt;&gt;"No"),AND(F144&lt;&gt;"Yes",F144&lt;&gt;"No")),"Use Yes or No","OK")))))))</f>
      </c>
    </row>
    <row r="145">
      <c r="G145" s="4">
        <f>IF(A145="","",IF(COUNTIF(Venues!$A$2:$A$201,A145)=0,"Unknown venue code",IF(OR(B145="",D145="",E145="",F145=""),"Missing details",IF(LEN(B145)&gt;80,"Name too long",IF(COUNTIFS($A$2:$A$1001,A145,$B$2:$B$1001,B145)&gt;1,"Duplicate court name",IF(AND(C145&lt;&gt;"",C145&lt;&gt;"Hard",C145&lt;&gt;"Synthetic",C145&lt;&gt;"Other",C145&lt;&gt;"Not sure"),"Unknown surface",IF(OR(AND(D145&lt;&gt;"Yes",D145&lt;&gt;"No"),AND(E145&lt;&gt;"Yes",E145&lt;&gt;"No"),AND(F145&lt;&gt;"Yes",F145&lt;&gt;"No")),"Use Yes or No","OK")))))))</f>
      </c>
    </row>
    <row r="146">
      <c r="G146" s="4">
        <f>IF(A146="","",IF(COUNTIF(Venues!$A$2:$A$201,A146)=0,"Unknown venue code",IF(OR(B146="",D146="",E146="",F146=""),"Missing details",IF(LEN(B146)&gt;80,"Name too long",IF(COUNTIFS($A$2:$A$1001,A146,$B$2:$B$1001,B146)&gt;1,"Duplicate court name",IF(AND(C146&lt;&gt;"",C146&lt;&gt;"Hard",C146&lt;&gt;"Synthetic",C146&lt;&gt;"Other",C146&lt;&gt;"Not sure"),"Unknown surface",IF(OR(AND(D146&lt;&gt;"Yes",D146&lt;&gt;"No"),AND(E146&lt;&gt;"Yes",E146&lt;&gt;"No"),AND(F146&lt;&gt;"Yes",F146&lt;&gt;"No")),"Use Yes or No","OK")))))))</f>
      </c>
    </row>
    <row r="147">
      <c r="G147" s="4">
        <f>IF(A147="","",IF(COUNTIF(Venues!$A$2:$A$201,A147)=0,"Unknown venue code",IF(OR(B147="",D147="",E147="",F147=""),"Missing details",IF(LEN(B147)&gt;80,"Name too long",IF(COUNTIFS($A$2:$A$1001,A147,$B$2:$B$1001,B147)&gt;1,"Duplicate court name",IF(AND(C147&lt;&gt;"",C147&lt;&gt;"Hard",C147&lt;&gt;"Synthetic",C147&lt;&gt;"Other",C147&lt;&gt;"Not sure"),"Unknown surface",IF(OR(AND(D147&lt;&gt;"Yes",D147&lt;&gt;"No"),AND(E147&lt;&gt;"Yes",E147&lt;&gt;"No"),AND(F147&lt;&gt;"Yes",F147&lt;&gt;"No")),"Use Yes or No","OK")))))))</f>
      </c>
    </row>
    <row r="148">
      <c r="G148" s="4">
        <f>IF(A148="","",IF(COUNTIF(Venues!$A$2:$A$201,A148)=0,"Unknown venue code",IF(OR(B148="",D148="",E148="",F148=""),"Missing details",IF(LEN(B148)&gt;80,"Name too long",IF(COUNTIFS($A$2:$A$1001,A148,$B$2:$B$1001,B148)&gt;1,"Duplicate court name",IF(AND(C148&lt;&gt;"",C148&lt;&gt;"Hard",C148&lt;&gt;"Synthetic",C148&lt;&gt;"Other",C148&lt;&gt;"Not sure"),"Unknown surface",IF(OR(AND(D148&lt;&gt;"Yes",D148&lt;&gt;"No"),AND(E148&lt;&gt;"Yes",E148&lt;&gt;"No"),AND(F148&lt;&gt;"Yes",F148&lt;&gt;"No")),"Use Yes or No","OK")))))))</f>
      </c>
    </row>
    <row r="149">
      <c r="G149" s="4">
        <f>IF(A149="","",IF(COUNTIF(Venues!$A$2:$A$201,A149)=0,"Unknown venue code",IF(OR(B149="",D149="",E149="",F149=""),"Missing details",IF(LEN(B149)&gt;80,"Name too long",IF(COUNTIFS($A$2:$A$1001,A149,$B$2:$B$1001,B149)&gt;1,"Duplicate court name",IF(AND(C149&lt;&gt;"",C149&lt;&gt;"Hard",C149&lt;&gt;"Synthetic",C149&lt;&gt;"Other",C149&lt;&gt;"Not sure"),"Unknown surface",IF(OR(AND(D149&lt;&gt;"Yes",D149&lt;&gt;"No"),AND(E149&lt;&gt;"Yes",E149&lt;&gt;"No"),AND(F149&lt;&gt;"Yes",F149&lt;&gt;"No")),"Use Yes or No","OK")))))))</f>
      </c>
    </row>
    <row r="150">
      <c r="G150" s="4">
        <f>IF(A150="","",IF(COUNTIF(Venues!$A$2:$A$201,A150)=0,"Unknown venue code",IF(OR(B150="",D150="",E150="",F150=""),"Missing details",IF(LEN(B150)&gt;80,"Name too long",IF(COUNTIFS($A$2:$A$1001,A150,$B$2:$B$1001,B150)&gt;1,"Duplicate court name",IF(AND(C150&lt;&gt;"",C150&lt;&gt;"Hard",C150&lt;&gt;"Synthetic",C150&lt;&gt;"Other",C150&lt;&gt;"Not sure"),"Unknown surface",IF(OR(AND(D150&lt;&gt;"Yes",D150&lt;&gt;"No"),AND(E150&lt;&gt;"Yes",E150&lt;&gt;"No"),AND(F150&lt;&gt;"Yes",F150&lt;&gt;"No")),"Use Yes or No","OK")))))))</f>
      </c>
    </row>
    <row r="151">
      <c r="G151" s="4">
        <f>IF(A151="","",IF(COUNTIF(Venues!$A$2:$A$201,A151)=0,"Unknown venue code",IF(OR(B151="",D151="",E151="",F151=""),"Missing details",IF(LEN(B151)&gt;80,"Name too long",IF(COUNTIFS($A$2:$A$1001,A151,$B$2:$B$1001,B151)&gt;1,"Duplicate court name",IF(AND(C151&lt;&gt;"",C151&lt;&gt;"Hard",C151&lt;&gt;"Synthetic",C151&lt;&gt;"Other",C151&lt;&gt;"Not sure"),"Unknown surface",IF(OR(AND(D151&lt;&gt;"Yes",D151&lt;&gt;"No"),AND(E151&lt;&gt;"Yes",E151&lt;&gt;"No"),AND(F151&lt;&gt;"Yes",F151&lt;&gt;"No")),"Use Yes or No","OK")))))))</f>
      </c>
    </row>
    <row r="152">
      <c r="G152" s="4">
        <f>IF(A152="","",IF(COUNTIF(Venues!$A$2:$A$201,A152)=0,"Unknown venue code",IF(OR(B152="",D152="",E152="",F152=""),"Missing details",IF(LEN(B152)&gt;80,"Name too long",IF(COUNTIFS($A$2:$A$1001,A152,$B$2:$B$1001,B152)&gt;1,"Duplicate court name",IF(AND(C152&lt;&gt;"",C152&lt;&gt;"Hard",C152&lt;&gt;"Synthetic",C152&lt;&gt;"Other",C152&lt;&gt;"Not sure"),"Unknown surface",IF(OR(AND(D152&lt;&gt;"Yes",D152&lt;&gt;"No"),AND(E152&lt;&gt;"Yes",E152&lt;&gt;"No"),AND(F152&lt;&gt;"Yes",F152&lt;&gt;"No")),"Use Yes or No","OK")))))))</f>
      </c>
    </row>
    <row r="153">
      <c r="G153" s="4">
        <f>IF(A153="","",IF(COUNTIF(Venues!$A$2:$A$201,A153)=0,"Unknown venue code",IF(OR(B153="",D153="",E153="",F153=""),"Missing details",IF(LEN(B153)&gt;80,"Name too long",IF(COUNTIFS($A$2:$A$1001,A153,$B$2:$B$1001,B153)&gt;1,"Duplicate court name",IF(AND(C153&lt;&gt;"",C153&lt;&gt;"Hard",C153&lt;&gt;"Synthetic",C153&lt;&gt;"Other",C153&lt;&gt;"Not sure"),"Unknown surface",IF(OR(AND(D153&lt;&gt;"Yes",D153&lt;&gt;"No"),AND(E153&lt;&gt;"Yes",E153&lt;&gt;"No"),AND(F153&lt;&gt;"Yes",F153&lt;&gt;"No")),"Use Yes or No","OK")))))))</f>
      </c>
    </row>
    <row r="154">
      <c r="G154" s="4">
        <f>IF(A154="","",IF(COUNTIF(Venues!$A$2:$A$201,A154)=0,"Unknown venue code",IF(OR(B154="",D154="",E154="",F154=""),"Missing details",IF(LEN(B154)&gt;80,"Name too long",IF(COUNTIFS($A$2:$A$1001,A154,$B$2:$B$1001,B154)&gt;1,"Duplicate court name",IF(AND(C154&lt;&gt;"",C154&lt;&gt;"Hard",C154&lt;&gt;"Synthetic",C154&lt;&gt;"Other",C154&lt;&gt;"Not sure"),"Unknown surface",IF(OR(AND(D154&lt;&gt;"Yes",D154&lt;&gt;"No"),AND(E154&lt;&gt;"Yes",E154&lt;&gt;"No"),AND(F154&lt;&gt;"Yes",F154&lt;&gt;"No")),"Use Yes or No","OK")))))))</f>
      </c>
    </row>
    <row r="155">
      <c r="G155" s="4">
        <f>IF(A155="","",IF(COUNTIF(Venues!$A$2:$A$201,A155)=0,"Unknown venue code",IF(OR(B155="",D155="",E155="",F155=""),"Missing details",IF(LEN(B155)&gt;80,"Name too long",IF(COUNTIFS($A$2:$A$1001,A155,$B$2:$B$1001,B155)&gt;1,"Duplicate court name",IF(AND(C155&lt;&gt;"",C155&lt;&gt;"Hard",C155&lt;&gt;"Synthetic",C155&lt;&gt;"Other",C155&lt;&gt;"Not sure"),"Unknown surface",IF(OR(AND(D155&lt;&gt;"Yes",D155&lt;&gt;"No"),AND(E155&lt;&gt;"Yes",E155&lt;&gt;"No"),AND(F155&lt;&gt;"Yes",F155&lt;&gt;"No")),"Use Yes or No","OK")))))))</f>
      </c>
    </row>
    <row r="156">
      <c r="G156" s="4">
        <f>IF(A156="","",IF(COUNTIF(Venues!$A$2:$A$201,A156)=0,"Unknown venue code",IF(OR(B156="",D156="",E156="",F156=""),"Missing details",IF(LEN(B156)&gt;80,"Name too long",IF(COUNTIFS($A$2:$A$1001,A156,$B$2:$B$1001,B156)&gt;1,"Duplicate court name",IF(AND(C156&lt;&gt;"",C156&lt;&gt;"Hard",C156&lt;&gt;"Synthetic",C156&lt;&gt;"Other",C156&lt;&gt;"Not sure"),"Unknown surface",IF(OR(AND(D156&lt;&gt;"Yes",D156&lt;&gt;"No"),AND(E156&lt;&gt;"Yes",E156&lt;&gt;"No"),AND(F156&lt;&gt;"Yes",F156&lt;&gt;"No")),"Use Yes or No","OK")))))))</f>
      </c>
    </row>
    <row r="157">
      <c r="G157" s="4">
        <f>IF(A157="","",IF(COUNTIF(Venues!$A$2:$A$201,A157)=0,"Unknown venue code",IF(OR(B157="",D157="",E157="",F157=""),"Missing details",IF(LEN(B157)&gt;80,"Name too long",IF(COUNTIFS($A$2:$A$1001,A157,$B$2:$B$1001,B157)&gt;1,"Duplicate court name",IF(AND(C157&lt;&gt;"",C157&lt;&gt;"Hard",C157&lt;&gt;"Synthetic",C157&lt;&gt;"Other",C157&lt;&gt;"Not sure"),"Unknown surface",IF(OR(AND(D157&lt;&gt;"Yes",D157&lt;&gt;"No"),AND(E157&lt;&gt;"Yes",E157&lt;&gt;"No"),AND(F157&lt;&gt;"Yes",F157&lt;&gt;"No")),"Use Yes or No","OK")))))))</f>
      </c>
    </row>
    <row r="158">
      <c r="G158" s="4">
        <f>IF(A158="","",IF(COUNTIF(Venues!$A$2:$A$201,A158)=0,"Unknown venue code",IF(OR(B158="",D158="",E158="",F158=""),"Missing details",IF(LEN(B158)&gt;80,"Name too long",IF(COUNTIFS($A$2:$A$1001,A158,$B$2:$B$1001,B158)&gt;1,"Duplicate court name",IF(AND(C158&lt;&gt;"",C158&lt;&gt;"Hard",C158&lt;&gt;"Synthetic",C158&lt;&gt;"Other",C158&lt;&gt;"Not sure"),"Unknown surface",IF(OR(AND(D158&lt;&gt;"Yes",D158&lt;&gt;"No"),AND(E158&lt;&gt;"Yes",E158&lt;&gt;"No"),AND(F158&lt;&gt;"Yes",F158&lt;&gt;"No")),"Use Yes or No","OK")))))))</f>
      </c>
    </row>
    <row r="159">
      <c r="G159" s="4">
        <f>IF(A159="","",IF(COUNTIF(Venues!$A$2:$A$201,A159)=0,"Unknown venue code",IF(OR(B159="",D159="",E159="",F159=""),"Missing details",IF(LEN(B159)&gt;80,"Name too long",IF(COUNTIFS($A$2:$A$1001,A159,$B$2:$B$1001,B159)&gt;1,"Duplicate court name",IF(AND(C159&lt;&gt;"",C159&lt;&gt;"Hard",C159&lt;&gt;"Synthetic",C159&lt;&gt;"Other",C159&lt;&gt;"Not sure"),"Unknown surface",IF(OR(AND(D159&lt;&gt;"Yes",D159&lt;&gt;"No"),AND(E159&lt;&gt;"Yes",E159&lt;&gt;"No"),AND(F159&lt;&gt;"Yes",F159&lt;&gt;"No")),"Use Yes or No","OK")))))))</f>
      </c>
    </row>
    <row r="160">
      <c r="G160" s="4">
        <f>IF(A160="","",IF(COUNTIF(Venues!$A$2:$A$201,A160)=0,"Unknown venue code",IF(OR(B160="",D160="",E160="",F160=""),"Missing details",IF(LEN(B160)&gt;80,"Name too long",IF(COUNTIFS($A$2:$A$1001,A160,$B$2:$B$1001,B160)&gt;1,"Duplicate court name",IF(AND(C160&lt;&gt;"",C160&lt;&gt;"Hard",C160&lt;&gt;"Synthetic",C160&lt;&gt;"Other",C160&lt;&gt;"Not sure"),"Unknown surface",IF(OR(AND(D160&lt;&gt;"Yes",D160&lt;&gt;"No"),AND(E160&lt;&gt;"Yes",E160&lt;&gt;"No"),AND(F160&lt;&gt;"Yes",F160&lt;&gt;"No")),"Use Yes or No","OK")))))))</f>
      </c>
    </row>
    <row r="161">
      <c r="G161" s="4">
        <f>IF(A161="","",IF(COUNTIF(Venues!$A$2:$A$201,A161)=0,"Unknown venue code",IF(OR(B161="",D161="",E161="",F161=""),"Missing details",IF(LEN(B161)&gt;80,"Name too long",IF(COUNTIFS($A$2:$A$1001,A161,$B$2:$B$1001,B161)&gt;1,"Duplicate court name",IF(AND(C161&lt;&gt;"",C161&lt;&gt;"Hard",C161&lt;&gt;"Synthetic",C161&lt;&gt;"Other",C161&lt;&gt;"Not sure"),"Unknown surface",IF(OR(AND(D161&lt;&gt;"Yes",D161&lt;&gt;"No"),AND(E161&lt;&gt;"Yes",E161&lt;&gt;"No"),AND(F161&lt;&gt;"Yes",F161&lt;&gt;"No")),"Use Yes or No","OK")))))))</f>
      </c>
    </row>
    <row r="162">
      <c r="G162" s="4">
        <f>IF(A162="","",IF(COUNTIF(Venues!$A$2:$A$201,A162)=0,"Unknown venue code",IF(OR(B162="",D162="",E162="",F162=""),"Missing details",IF(LEN(B162)&gt;80,"Name too long",IF(COUNTIFS($A$2:$A$1001,A162,$B$2:$B$1001,B162)&gt;1,"Duplicate court name",IF(AND(C162&lt;&gt;"",C162&lt;&gt;"Hard",C162&lt;&gt;"Synthetic",C162&lt;&gt;"Other",C162&lt;&gt;"Not sure"),"Unknown surface",IF(OR(AND(D162&lt;&gt;"Yes",D162&lt;&gt;"No"),AND(E162&lt;&gt;"Yes",E162&lt;&gt;"No"),AND(F162&lt;&gt;"Yes",F162&lt;&gt;"No")),"Use Yes or No","OK")))))))</f>
      </c>
    </row>
    <row r="163">
      <c r="G163" s="4">
        <f>IF(A163="","",IF(COUNTIF(Venues!$A$2:$A$201,A163)=0,"Unknown venue code",IF(OR(B163="",D163="",E163="",F163=""),"Missing details",IF(LEN(B163)&gt;80,"Name too long",IF(COUNTIFS($A$2:$A$1001,A163,$B$2:$B$1001,B163)&gt;1,"Duplicate court name",IF(AND(C163&lt;&gt;"",C163&lt;&gt;"Hard",C163&lt;&gt;"Synthetic",C163&lt;&gt;"Other",C163&lt;&gt;"Not sure"),"Unknown surface",IF(OR(AND(D163&lt;&gt;"Yes",D163&lt;&gt;"No"),AND(E163&lt;&gt;"Yes",E163&lt;&gt;"No"),AND(F163&lt;&gt;"Yes",F163&lt;&gt;"No")),"Use Yes or No","OK")))))))</f>
      </c>
    </row>
    <row r="164">
      <c r="G164" s="4">
        <f>IF(A164="","",IF(COUNTIF(Venues!$A$2:$A$201,A164)=0,"Unknown venue code",IF(OR(B164="",D164="",E164="",F164=""),"Missing details",IF(LEN(B164)&gt;80,"Name too long",IF(COUNTIFS($A$2:$A$1001,A164,$B$2:$B$1001,B164)&gt;1,"Duplicate court name",IF(AND(C164&lt;&gt;"",C164&lt;&gt;"Hard",C164&lt;&gt;"Synthetic",C164&lt;&gt;"Other",C164&lt;&gt;"Not sure"),"Unknown surface",IF(OR(AND(D164&lt;&gt;"Yes",D164&lt;&gt;"No"),AND(E164&lt;&gt;"Yes",E164&lt;&gt;"No"),AND(F164&lt;&gt;"Yes",F164&lt;&gt;"No")),"Use Yes or No","OK")))))))</f>
      </c>
    </row>
    <row r="165">
      <c r="G165" s="4">
        <f>IF(A165="","",IF(COUNTIF(Venues!$A$2:$A$201,A165)=0,"Unknown venue code",IF(OR(B165="",D165="",E165="",F165=""),"Missing details",IF(LEN(B165)&gt;80,"Name too long",IF(COUNTIFS($A$2:$A$1001,A165,$B$2:$B$1001,B165)&gt;1,"Duplicate court name",IF(AND(C165&lt;&gt;"",C165&lt;&gt;"Hard",C165&lt;&gt;"Synthetic",C165&lt;&gt;"Other",C165&lt;&gt;"Not sure"),"Unknown surface",IF(OR(AND(D165&lt;&gt;"Yes",D165&lt;&gt;"No"),AND(E165&lt;&gt;"Yes",E165&lt;&gt;"No"),AND(F165&lt;&gt;"Yes",F165&lt;&gt;"No")),"Use Yes or No","OK")))))))</f>
      </c>
    </row>
    <row r="166">
      <c r="G166" s="4">
        <f>IF(A166="","",IF(COUNTIF(Venues!$A$2:$A$201,A166)=0,"Unknown venue code",IF(OR(B166="",D166="",E166="",F166=""),"Missing details",IF(LEN(B166)&gt;80,"Name too long",IF(COUNTIFS($A$2:$A$1001,A166,$B$2:$B$1001,B166)&gt;1,"Duplicate court name",IF(AND(C166&lt;&gt;"",C166&lt;&gt;"Hard",C166&lt;&gt;"Synthetic",C166&lt;&gt;"Other",C166&lt;&gt;"Not sure"),"Unknown surface",IF(OR(AND(D166&lt;&gt;"Yes",D166&lt;&gt;"No"),AND(E166&lt;&gt;"Yes",E166&lt;&gt;"No"),AND(F166&lt;&gt;"Yes",F166&lt;&gt;"No")),"Use Yes or No","OK")))))))</f>
      </c>
    </row>
    <row r="167">
      <c r="G167" s="4">
        <f>IF(A167="","",IF(COUNTIF(Venues!$A$2:$A$201,A167)=0,"Unknown venue code",IF(OR(B167="",D167="",E167="",F167=""),"Missing details",IF(LEN(B167)&gt;80,"Name too long",IF(COUNTIFS($A$2:$A$1001,A167,$B$2:$B$1001,B167)&gt;1,"Duplicate court name",IF(AND(C167&lt;&gt;"",C167&lt;&gt;"Hard",C167&lt;&gt;"Synthetic",C167&lt;&gt;"Other",C167&lt;&gt;"Not sure"),"Unknown surface",IF(OR(AND(D167&lt;&gt;"Yes",D167&lt;&gt;"No"),AND(E167&lt;&gt;"Yes",E167&lt;&gt;"No"),AND(F167&lt;&gt;"Yes",F167&lt;&gt;"No")),"Use Yes or No","OK")))))))</f>
      </c>
    </row>
    <row r="168">
      <c r="G168" s="4">
        <f>IF(A168="","",IF(COUNTIF(Venues!$A$2:$A$201,A168)=0,"Unknown venue code",IF(OR(B168="",D168="",E168="",F168=""),"Missing details",IF(LEN(B168)&gt;80,"Name too long",IF(COUNTIFS($A$2:$A$1001,A168,$B$2:$B$1001,B168)&gt;1,"Duplicate court name",IF(AND(C168&lt;&gt;"",C168&lt;&gt;"Hard",C168&lt;&gt;"Synthetic",C168&lt;&gt;"Other",C168&lt;&gt;"Not sure"),"Unknown surface",IF(OR(AND(D168&lt;&gt;"Yes",D168&lt;&gt;"No"),AND(E168&lt;&gt;"Yes",E168&lt;&gt;"No"),AND(F168&lt;&gt;"Yes",F168&lt;&gt;"No")),"Use Yes or No","OK")))))))</f>
      </c>
    </row>
    <row r="169">
      <c r="G169" s="4">
        <f>IF(A169="","",IF(COUNTIF(Venues!$A$2:$A$201,A169)=0,"Unknown venue code",IF(OR(B169="",D169="",E169="",F169=""),"Missing details",IF(LEN(B169)&gt;80,"Name too long",IF(COUNTIFS($A$2:$A$1001,A169,$B$2:$B$1001,B169)&gt;1,"Duplicate court name",IF(AND(C169&lt;&gt;"",C169&lt;&gt;"Hard",C169&lt;&gt;"Synthetic",C169&lt;&gt;"Other",C169&lt;&gt;"Not sure"),"Unknown surface",IF(OR(AND(D169&lt;&gt;"Yes",D169&lt;&gt;"No"),AND(E169&lt;&gt;"Yes",E169&lt;&gt;"No"),AND(F169&lt;&gt;"Yes",F169&lt;&gt;"No")),"Use Yes or No","OK")))))))</f>
      </c>
    </row>
    <row r="170">
      <c r="G170" s="4">
        <f>IF(A170="","",IF(COUNTIF(Venues!$A$2:$A$201,A170)=0,"Unknown venue code",IF(OR(B170="",D170="",E170="",F170=""),"Missing details",IF(LEN(B170)&gt;80,"Name too long",IF(COUNTIFS($A$2:$A$1001,A170,$B$2:$B$1001,B170)&gt;1,"Duplicate court name",IF(AND(C170&lt;&gt;"",C170&lt;&gt;"Hard",C170&lt;&gt;"Synthetic",C170&lt;&gt;"Other",C170&lt;&gt;"Not sure"),"Unknown surface",IF(OR(AND(D170&lt;&gt;"Yes",D170&lt;&gt;"No"),AND(E170&lt;&gt;"Yes",E170&lt;&gt;"No"),AND(F170&lt;&gt;"Yes",F170&lt;&gt;"No")),"Use Yes or No","OK")))))))</f>
      </c>
    </row>
    <row r="171">
      <c r="G171" s="4">
        <f>IF(A171="","",IF(COUNTIF(Venues!$A$2:$A$201,A171)=0,"Unknown venue code",IF(OR(B171="",D171="",E171="",F171=""),"Missing details",IF(LEN(B171)&gt;80,"Name too long",IF(COUNTIFS($A$2:$A$1001,A171,$B$2:$B$1001,B171)&gt;1,"Duplicate court name",IF(AND(C171&lt;&gt;"",C171&lt;&gt;"Hard",C171&lt;&gt;"Synthetic",C171&lt;&gt;"Other",C171&lt;&gt;"Not sure"),"Unknown surface",IF(OR(AND(D171&lt;&gt;"Yes",D171&lt;&gt;"No"),AND(E171&lt;&gt;"Yes",E171&lt;&gt;"No"),AND(F171&lt;&gt;"Yes",F171&lt;&gt;"No")),"Use Yes or No","OK")))))))</f>
      </c>
    </row>
    <row r="172">
      <c r="G172" s="4">
        <f>IF(A172="","",IF(COUNTIF(Venues!$A$2:$A$201,A172)=0,"Unknown venue code",IF(OR(B172="",D172="",E172="",F172=""),"Missing details",IF(LEN(B172)&gt;80,"Name too long",IF(COUNTIFS($A$2:$A$1001,A172,$B$2:$B$1001,B172)&gt;1,"Duplicate court name",IF(AND(C172&lt;&gt;"",C172&lt;&gt;"Hard",C172&lt;&gt;"Synthetic",C172&lt;&gt;"Other",C172&lt;&gt;"Not sure"),"Unknown surface",IF(OR(AND(D172&lt;&gt;"Yes",D172&lt;&gt;"No"),AND(E172&lt;&gt;"Yes",E172&lt;&gt;"No"),AND(F172&lt;&gt;"Yes",F172&lt;&gt;"No")),"Use Yes or No","OK")))))))</f>
      </c>
    </row>
    <row r="173">
      <c r="G173" s="4">
        <f>IF(A173="","",IF(COUNTIF(Venues!$A$2:$A$201,A173)=0,"Unknown venue code",IF(OR(B173="",D173="",E173="",F173=""),"Missing details",IF(LEN(B173)&gt;80,"Name too long",IF(COUNTIFS($A$2:$A$1001,A173,$B$2:$B$1001,B173)&gt;1,"Duplicate court name",IF(AND(C173&lt;&gt;"",C173&lt;&gt;"Hard",C173&lt;&gt;"Synthetic",C173&lt;&gt;"Other",C173&lt;&gt;"Not sure"),"Unknown surface",IF(OR(AND(D173&lt;&gt;"Yes",D173&lt;&gt;"No"),AND(E173&lt;&gt;"Yes",E173&lt;&gt;"No"),AND(F173&lt;&gt;"Yes",F173&lt;&gt;"No")),"Use Yes or No","OK")))))))</f>
      </c>
    </row>
    <row r="174">
      <c r="G174" s="4">
        <f>IF(A174="","",IF(COUNTIF(Venues!$A$2:$A$201,A174)=0,"Unknown venue code",IF(OR(B174="",D174="",E174="",F174=""),"Missing details",IF(LEN(B174)&gt;80,"Name too long",IF(COUNTIFS($A$2:$A$1001,A174,$B$2:$B$1001,B174)&gt;1,"Duplicate court name",IF(AND(C174&lt;&gt;"",C174&lt;&gt;"Hard",C174&lt;&gt;"Synthetic",C174&lt;&gt;"Other",C174&lt;&gt;"Not sure"),"Unknown surface",IF(OR(AND(D174&lt;&gt;"Yes",D174&lt;&gt;"No"),AND(E174&lt;&gt;"Yes",E174&lt;&gt;"No"),AND(F174&lt;&gt;"Yes",F174&lt;&gt;"No")),"Use Yes or No","OK")))))))</f>
      </c>
    </row>
    <row r="175">
      <c r="G175" s="4">
        <f>IF(A175="","",IF(COUNTIF(Venues!$A$2:$A$201,A175)=0,"Unknown venue code",IF(OR(B175="",D175="",E175="",F175=""),"Missing details",IF(LEN(B175)&gt;80,"Name too long",IF(COUNTIFS($A$2:$A$1001,A175,$B$2:$B$1001,B175)&gt;1,"Duplicate court name",IF(AND(C175&lt;&gt;"",C175&lt;&gt;"Hard",C175&lt;&gt;"Synthetic",C175&lt;&gt;"Other",C175&lt;&gt;"Not sure"),"Unknown surface",IF(OR(AND(D175&lt;&gt;"Yes",D175&lt;&gt;"No"),AND(E175&lt;&gt;"Yes",E175&lt;&gt;"No"),AND(F175&lt;&gt;"Yes",F175&lt;&gt;"No")),"Use Yes or No","OK")))))))</f>
      </c>
    </row>
    <row r="176">
      <c r="G176" s="4">
        <f>IF(A176="","",IF(COUNTIF(Venues!$A$2:$A$201,A176)=0,"Unknown venue code",IF(OR(B176="",D176="",E176="",F176=""),"Missing details",IF(LEN(B176)&gt;80,"Name too long",IF(COUNTIFS($A$2:$A$1001,A176,$B$2:$B$1001,B176)&gt;1,"Duplicate court name",IF(AND(C176&lt;&gt;"",C176&lt;&gt;"Hard",C176&lt;&gt;"Synthetic",C176&lt;&gt;"Other",C176&lt;&gt;"Not sure"),"Unknown surface",IF(OR(AND(D176&lt;&gt;"Yes",D176&lt;&gt;"No"),AND(E176&lt;&gt;"Yes",E176&lt;&gt;"No"),AND(F176&lt;&gt;"Yes",F176&lt;&gt;"No")),"Use Yes or No","OK")))))))</f>
      </c>
    </row>
    <row r="177">
      <c r="G177" s="4">
        <f>IF(A177="","",IF(COUNTIF(Venues!$A$2:$A$201,A177)=0,"Unknown venue code",IF(OR(B177="",D177="",E177="",F177=""),"Missing details",IF(LEN(B177)&gt;80,"Name too long",IF(COUNTIFS($A$2:$A$1001,A177,$B$2:$B$1001,B177)&gt;1,"Duplicate court name",IF(AND(C177&lt;&gt;"",C177&lt;&gt;"Hard",C177&lt;&gt;"Synthetic",C177&lt;&gt;"Other",C177&lt;&gt;"Not sure"),"Unknown surface",IF(OR(AND(D177&lt;&gt;"Yes",D177&lt;&gt;"No"),AND(E177&lt;&gt;"Yes",E177&lt;&gt;"No"),AND(F177&lt;&gt;"Yes",F177&lt;&gt;"No")),"Use Yes or No","OK")))))))</f>
      </c>
    </row>
    <row r="178">
      <c r="G178" s="4">
        <f>IF(A178="","",IF(COUNTIF(Venues!$A$2:$A$201,A178)=0,"Unknown venue code",IF(OR(B178="",D178="",E178="",F178=""),"Missing details",IF(LEN(B178)&gt;80,"Name too long",IF(COUNTIFS($A$2:$A$1001,A178,$B$2:$B$1001,B178)&gt;1,"Duplicate court name",IF(AND(C178&lt;&gt;"",C178&lt;&gt;"Hard",C178&lt;&gt;"Synthetic",C178&lt;&gt;"Other",C178&lt;&gt;"Not sure"),"Unknown surface",IF(OR(AND(D178&lt;&gt;"Yes",D178&lt;&gt;"No"),AND(E178&lt;&gt;"Yes",E178&lt;&gt;"No"),AND(F178&lt;&gt;"Yes",F178&lt;&gt;"No")),"Use Yes or No","OK")))))))</f>
      </c>
    </row>
    <row r="179">
      <c r="G179" s="4">
        <f>IF(A179="","",IF(COUNTIF(Venues!$A$2:$A$201,A179)=0,"Unknown venue code",IF(OR(B179="",D179="",E179="",F179=""),"Missing details",IF(LEN(B179)&gt;80,"Name too long",IF(COUNTIFS($A$2:$A$1001,A179,$B$2:$B$1001,B179)&gt;1,"Duplicate court name",IF(AND(C179&lt;&gt;"",C179&lt;&gt;"Hard",C179&lt;&gt;"Synthetic",C179&lt;&gt;"Other",C179&lt;&gt;"Not sure"),"Unknown surface",IF(OR(AND(D179&lt;&gt;"Yes",D179&lt;&gt;"No"),AND(E179&lt;&gt;"Yes",E179&lt;&gt;"No"),AND(F179&lt;&gt;"Yes",F179&lt;&gt;"No")),"Use Yes or No","OK")))))))</f>
      </c>
    </row>
    <row r="180">
      <c r="G180" s="4">
        <f>IF(A180="","",IF(COUNTIF(Venues!$A$2:$A$201,A180)=0,"Unknown venue code",IF(OR(B180="",D180="",E180="",F180=""),"Missing details",IF(LEN(B180)&gt;80,"Name too long",IF(COUNTIFS($A$2:$A$1001,A180,$B$2:$B$1001,B180)&gt;1,"Duplicate court name",IF(AND(C180&lt;&gt;"",C180&lt;&gt;"Hard",C180&lt;&gt;"Synthetic",C180&lt;&gt;"Other",C180&lt;&gt;"Not sure"),"Unknown surface",IF(OR(AND(D180&lt;&gt;"Yes",D180&lt;&gt;"No"),AND(E180&lt;&gt;"Yes",E180&lt;&gt;"No"),AND(F180&lt;&gt;"Yes",F180&lt;&gt;"No")),"Use Yes or No","OK")))))))</f>
      </c>
    </row>
    <row r="181">
      <c r="G181" s="4">
        <f>IF(A181="","",IF(COUNTIF(Venues!$A$2:$A$201,A181)=0,"Unknown venue code",IF(OR(B181="",D181="",E181="",F181=""),"Missing details",IF(LEN(B181)&gt;80,"Name too long",IF(COUNTIFS($A$2:$A$1001,A181,$B$2:$B$1001,B181)&gt;1,"Duplicate court name",IF(AND(C181&lt;&gt;"",C181&lt;&gt;"Hard",C181&lt;&gt;"Synthetic",C181&lt;&gt;"Other",C181&lt;&gt;"Not sure"),"Unknown surface",IF(OR(AND(D181&lt;&gt;"Yes",D181&lt;&gt;"No"),AND(E181&lt;&gt;"Yes",E181&lt;&gt;"No"),AND(F181&lt;&gt;"Yes",F181&lt;&gt;"No")),"Use Yes or No","OK")))))))</f>
      </c>
    </row>
    <row r="182">
      <c r="G182" s="4">
        <f>IF(A182="","",IF(COUNTIF(Venues!$A$2:$A$201,A182)=0,"Unknown venue code",IF(OR(B182="",D182="",E182="",F182=""),"Missing details",IF(LEN(B182)&gt;80,"Name too long",IF(COUNTIFS($A$2:$A$1001,A182,$B$2:$B$1001,B182)&gt;1,"Duplicate court name",IF(AND(C182&lt;&gt;"",C182&lt;&gt;"Hard",C182&lt;&gt;"Synthetic",C182&lt;&gt;"Other",C182&lt;&gt;"Not sure"),"Unknown surface",IF(OR(AND(D182&lt;&gt;"Yes",D182&lt;&gt;"No"),AND(E182&lt;&gt;"Yes",E182&lt;&gt;"No"),AND(F182&lt;&gt;"Yes",F182&lt;&gt;"No")),"Use Yes or No","OK")))))))</f>
      </c>
    </row>
    <row r="183">
      <c r="G183" s="4">
        <f>IF(A183="","",IF(COUNTIF(Venues!$A$2:$A$201,A183)=0,"Unknown venue code",IF(OR(B183="",D183="",E183="",F183=""),"Missing details",IF(LEN(B183)&gt;80,"Name too long",IF(COUNTIFS($A$2:$A$1001,A183,$B$2:$B$1001,B183)&gt;1,"Duplicate court name",IF(AND(C183&lt;&gt;"",C183&lt;&gt;"Hard",C183&lt;&gt;"Synthetic",C183&lt;&gt;"Other",C183&lt;&gt;"Not sure"),"Unknown surface",IF(OR(AND(D183&lt;&gt;"Yes",D183&lt;&gt;"No"),AND(E183&lt;&gt;"Yes",E183&lt;&gt;"No"),AND(F183&lt;&gt;"Yes",F183&lt;&gt;"No")),"Use Yes or No","OK")))))))</f>
      </c>
    </row>
    <row r="184">
      <c r="G184" s="4">
        <f>IF(A184="","",IF(COUNTIF(Venues!$A$2:$A$201,A184)=0,"Unknown venue code",IF(OR(B184="",D184="",E184="",F184=""),"Missing details",IF(LEN(B184)&gt;80,"Name too long",IF(COUNTIFS($A$2:$A$1001,A184,$B$2:$B$1001,B184)&gt;1,"Duplicate court name",IF(AND(C184&lt;&gt;"",C184&lt;&gt;"Hard",C184&lt;&gt;"Synthetic",C184&lt;&gt;"Other",C184&lt;&gt;"Not sure"),"Unknown surface",IF(OR(AND(D184&lt;&gt;"Yes",D184&lt;&gt;"No"),AND(E184&lt;&gt;"Yes",E184&lt;&gt;"No"),AND(F184&lt;&gt;"Yes",F184&lt;&gt;"No")),"Use Yes or No","OK")))))))</f>
      </c>
    </row>
    <row r="185">
      <c r="G185" s="4">
        <f>IF(A185="","",IF(COUNTIF(Venues!$A$2:$A$201,A185)=0,"Unknown venue code",IF(OR(B185="",D185="",E185="",F185=""),"Missing details",IF(LEN(B185)&gt;80,"Name too long",IF(COUNTIFS($A$2:$A$1001,A185,$B$2:$B$1001,B185)&gt;1,"Duplicate court name",IF(AND(C185&lt;&gt;"",C185&lt;&gt;"Hard",C185&lt;&gt;"Synthetic",C185&lt;&gt;"Other",C185&lt;&gt;"Not sure"),"Unknown surface",IF(OR(AND(D185&lt;&gt;"Yes",D185&lt;&gt;"No"),AND(E185&lt;&gt;"Yes",E185&lt;&gt;"No"),AND(F185&lt;&gt;"Yes",F185&lt;&gt;"No")),"Use Yes or No","OK")))))))</f>
      </c>
    </row>
    <row r="186">
      <c r="G186" s="4">
        <f>IF(A186="","",IF(COUNTIF(Venues!$A$2:$A$201,A186)=0,"Unknown venue code",IF(OR(B186="",D186="",E186="",F186=""),"Missing details",IF(LEN(B186)&gt;80,"Name too long",IF(COUNTIFS($A$2:$A$1001,A186,$B$2:$B$1001,B186)&gt;1,"Duplicate court name",IF(AND(C186&lt;&gt;"",C186&lt;&gt;"Hard",C186&lt;&gt;"Synthetic",C186&lt;&gt;"Other",C186&lt;&gt;"Not sure"),"Unknown surface",IF(OR(AND(D186&lt;&gt;"Yes",D186&lt;&gt;"No"),AND(E186&lt;&gt;"Yes",E186&lt;&gt;"No"),AND(F186&lt;&gt;"Yes",F186&lt;&gt;"No")),"Use Yes or No","OK")))))))</f>
      </c>
    </row>
    <row r="187">
      <c r="G187" s="4">
        <f>IF(A187="","",IF(COUNTIF(Venues!$A$2:$A$201,A187)=0,"Unknown venue code",IF(OR(B187="",D187="",E187="",F187=""),"Missing details",IF(LEN(B187)&gt;80,"Name too long",IF(COUNTIFS($A$2:$A$1001,A187,$B$2:$B$1001,B187)&gt;1,"Duplicate court name",IF(AND(C187&lt;&gt;"",C187&lt;&gt;"Hard",C187&lt;&gt;"Synthetic",C187&lt;&gt;"Other",C187&lt;&gt;"Not sure"),"Unknown surface",IF(OR(AND(D187&lt;&gt;"Yes",D187&lt;&gt;"No"),AND(E187&lt;&gt;"Yes",E187&lt;&gt;"No"),AND(F187&lt;&gt;"Yes",F187&lt;&gt;"No")),"Use Yes or No","OK")))))))</f>
      </c>
    </row>
    <row r="188">
      <c r="G188" s="4">
        <f>IF(A188="","",IF(COUNTIF(Venues!$A$2:$A$201,A188)=0,"Unknown venue code",IF(OR(B188="",D188="",E188="",F188=""),"Missing details",IF(LEN(B188)&gt;80,"Name too long",IF(COUNTIFS($A$2:$A$1001,A188,$B$2:$B$1001,B188)&gt;1,"Duplicate court name",IF(AND(C188&lt;&gt;"",C188&lt;&gt;"Hard",C188&lt;&gt;"Synthetic",C188&lt;&gt;"Other",C188&lt;&gt;"Not sure"),"Unknown surface",IF(OR(AND(D188&lt;&gt;"Yes",D188&lt;&gt;"No"),AND(E188&lt;&gt;"Yes",E188&lt;&gt;"No"),AND(F188&lt;&gt;"Yes",F188&lt;&gt;"No")),"Use Yes or No","OK")))))))</f>
      </c>
    </row>
    <row r="189">
      <c r="G189" s="4">
        <f>IF(A189="","",IF(COUNTIF(Venues!$A$2:$A$201,A189)=0,"Unknown venue code",IF(OR(B189="",D189="",E189="",F189=""),"Missing details",IF(LEN(B189)&gt;80,"Name too long",IF(COUNTIFS($A$2:$A$1001,A189,$B$2:$B$1001,B189)&gt;1,"Duplicate court name",IF(AND(C189&lt;&gt;"",C189&lt;&gt;"Hard",C189&lt;&gt;"Synthetic",C189&lt;&gt;"Other",C189&lt;&gt;"Not sure"),"Unknown surface",IF(OR(AND(D189&lt;&gt;"Yes",D189&lt;&gt;"No"),AND(E189&lt;&gt;"Yes",E189&lt;&gt;"No"),AND(F189&lt;&gt;"Yes",F189&lt;&gt;"No")),"Use Yes or No","OK")))))))</f>
      </c>
    </row>
    <row r="190">
      <c r="G190" s="4">
        <f>IF(A190="","",IF(COUNTIF(Venues!$A$2:$A$201,A190)=0,"Unknown venue code",IF(OR(B190="",D190="",E190="",F190=""),"Missing details",IF(LEN(B190)&gt;80,"Name too long",IF(COUNTIFS($A$2:$A$1001,A190,$B$2:$B$1001,B190)&gt;1,"Duplicate court name",IF(AND(C190&lt;&gt;"",C190&lt;&gt;"Hard",C190&lt;&gt;"Synthetic",C190&lt;&gt;"Other",C190&lt;&gt;"Not sure"),"Unknown surface",IF(OR(AND(D190&lt;&gt;"Yes",D190&lt;&gt;"No"),AND(E190&lt;&gt;"Yes",E190&lt;&gt;"No"),AND(F190&lt;&gt;"Yes",F190&lt;&gt;"No")),"Use Yes or No","OK")))))))</f>
      </c>
    </row>
    <row r="191">
      <c r="G191" s="4">
        <f>IF(A191="","",IF(COUNTIF(Venues!$A$2:$A$201,A191)=0,"Unknown venue code",IF(OR(B191="",D191="",E191="",F191=""),"Missing details",IF(LEN(B191)&gt;80,"Name too long",IF(COUNTIFS($A$2:$A$1001,A191,$B$2:$B$1001,B191)&gt;1,"Duplicate court name",IF(AND(C191&lt;&gt;"",C191&lt;&gt;"Hard",C191&lt;&gt;"Synthetic",C191&lt;&gt;"Other",C191&lt;&gt;"Not sure"),"Unknown surface",IF(OR(AND(D191&lt;&gt;"Yes",D191&lt;&gt;"No"),AND(E191&lt;&gt;"Yes",E191&lt;&gt;"No"),AND(F191&lt;&gt;"Yes",F191&lt;&gt;"No")),"Use Yes or No","OK")))))))</f>
      </c>
    </row>
    <row r="192">
      <c r="G192" s="4">
        <f>IF(A192="","",IF(COUNTIF(Venues!$A$2:$A$201,A192)=0,"Unknown venue code",IF(OR(B192="",D192="",E192="",F192=""),"Missing details",IF(LEN(B192)&gt;80,"Name too long",IF(COUNTIFS($A$2:$A$1001,A192,$B$2:$B$1001,B192)&gt;1,"Duplicate court name",IF(AND(C192&lt;&gt;"",C192&lt;&gt;"Hard",C192&lt;&gt;"Synthetic",C192&lt;&gt;"Other",C192&lt;&gt;"Not sure"),"Unknown surface",IF(OR(AND(D192&lt;&gt;"Yes",D192&lt;&gt;"No"),AND(E192&lt;&gt;"Yes",E192&lt;&gt;"No"),AND(F192&lt;&gt;"Yes",F192&lt;&gt;"No")),"Use Yes or No","OK")))))))</f>
      </c>
    </row>
    <row r="193">
      <c r="G193" s="4">
        <f>IF(A193="","",IF(COUNTIF(Venues!$A$2:$A$201,A193)=0,"Unknown venue code",IF(OR(B193="",D193="",E193="",F193=""),"Missing details",IF(LEN(B193)&gt;80,"Name too long",IF(COUNTIFS($A$2:$A$1001,A193,$B$2:$B$1001,B193)&gt;1,"Duplicate court name",IF(AND(C193&lt;&gt;"",C193&lt;&gt;"Hard",C193&lt;&gt;"Synthetic",C193&lt;&gt;"Other",C193&lt;&gt;"Not sure"),"Unknown surface",IF(OR(AND(D193&lt;&gt;"Yes",D193&lt;&gt;"No"),AND(E193&lt;&gt;"Yes",E193&lt;&gt;"No"),AND(F193&lt;&gt;"Yes",F193&lt;&gt;"No")),"Use Yes or No","OK")))))))</f>
      </c>
    </row>
    <row r="194">
      <c r="G194" s="4">
        <f>IF(A194="","",IF(COUNTIF(Venues!$A$2:$A$201,A194)=0,"Unknown venue code",IF(OR(B194="",D194="",E194="",F194=""),"Missing details",IF(LEN(B194)&gt;80,"Name too long",IF(COUNTIFS($A$2:$A$1001,A194,$B$2:$B$1001,B194)&gt;1,"Duplicate court name",IF(AND(C194&lt;&gt;"",C194&lt;&gt;"Hard",C194&lt;&gt;"Synthetic",C194&lt;&gt;"Other",C194&lt;&gt;"Not sure"),"Unknown surface",IF(OR(AND(D194&lt;&gt;"Yes",D194&lt;&gt;"No"),AND(E194&lt;&gt;"Yes",E194&lt;&gt;"No"),AND(F194&lt;&gt;"Yes",F194&lt;&gt;"No")),"Use Yes or No","OK")))))))</f>
      </c>
    </row>
    <row r="195">
      <c r="G195" s="4">
        <f>IF(A195="","",IF(COUNTIF(Venues!$A$2:$A$201,A195)=0,"Unknown venue code",IF(OR(B195="",D195="",E195="",F195=""),"Missing details",IF(LEN(B195)&gt;80,"Name too long",IF(COUNTIFS($A$2:$A$1001,A195,$B$2:$B$1001,B195)&gt;1,"Duplicate court name",IF(AND(C195&lt;&gt;"",C195&lt;&gt;"Hard",C195&lt;&gt;"Synthetic",C195&lt;&gt;"Other",C195&lt;&gt;"Not sure"),"Unknown surface",IF(OR(AND(D195&lt;&gt;"Yes",D195&lt;&gt;"No"),AND(E195&lt;&gt;"Yes",E195&lt;&gt;"No"),AND(F195&lt;&gt;"Yes",F195&lt;&gt;"No")),"Use Yes or No","OK")))))))</f>
      </c>
    </row>
    <row r="196">
      <c r="G196" s="4">
        <f>IF(A196="","",IF(COUNTIF(Venues!$A$2:$A$201,A196)=0,"Unknown venue code",IF(OR(B196="",D196="",E196="",F196=""),"Missing details",IF(LEN(B196)&gt;80,"Name too long",IF(COUNTIFS($A$2:$A$1001,A196,$B$2:$B$1001,B196)&gt;1,"Duplicate court name",IF(AND(C196&lt;&gt;"",C196&lt;&gt;"Hard",C196&lt;&gt;"Synthetic",C196&lt;&gt;"Other",C196&lt;&gt;"Not sure"),"Unknown surface",IF(OR(AND(D196&lt;&gt;"Yes",D196&lt;&gt;"No"),AND(E196&lt;&gt;"Yes",E196&lt;&gt;"No"),AND(F196&lt;&gt;"Yes",F196&lt;&gt;"No")),"Use Yes or No","OK")))))))</f>
      </c>
    </row>
    <row r="197">
      <c r="G197" s="4">
        <f>IF(A197="","",IF(COUNTIF(Venues!$A$2:$A$201,A197)=0,"Unknown venue code",IF(OR(B197="",D197="",E197="",F197=""),"Missing details",IF(LEN(B197)&gt;80,"Name too long",IF(COUNTIFS($A$2:$A$1001,A197,$B$2:$B$1001,B197)&gt;1,"Duplicate court name",IF(AND(C197&lt;&gt;"",C197&lt;&gt;"Hard",C197&lt;&gt;"Synthetic",C197&lt;&gt;"Other",C197&lt;&gt;"Not sure"),"Unknown surface",IF(OR(AND(D197&lt;&gt;"Yes",D197&lt;&gt;"No"),AND(E197&lt;&gt;"Yes",E197&lt;&gt;"No"),AND(F197&lt;&gt;"Yes",F197&lt;&gt;"No")),"Use Yes or No","OK")))))))</f>
      </c>
    </row>
    <row r="198">
      <c r="G198" s="4">
        <f>IF(A198="","",IF(COUNTIF(Venues!$A$2:$A$201,A198)=0,"Unknown venue code",IF(OR(B198="",D198="",E198="",F198=""),"Missing details",IF(LEN(B198)&gt;80,"Name too long",IF(COUNTIFS($A$2:$A$1001,A198,$B$2:$B$1001,B198)&gt;1,"Duplicate court name",IF(AND(C198&lt;&gt;"",C198&lt;&gt;"Hard",C198&lt;&gt;"Synthetic",C198&lt;&gt;"Other",C198&lt;&gt;"Not sure"),"Unknown surface",IF(OR(AND(D198&lt;&gt;"Yes",D198&lt;&gt;"No"),AND(E198&lt;&gt;"Yes",E198&lt;&gt;"No"),AND(F198&lt;&gt;"Yes",F198&lt;&gt;"No")),"Use Yes or No","OK")))))))</f>
      </c>
    </row>
    <row r="199">
      <c r="G199" s="4">
        <f>IF(A199="","",IF(COUNTIF(Venues!$A$2:$A$201,A199)=0,"Unknown venue code",IF(OR(B199="",D199="",E199="",F199=""),"Missing details",IF(LEN(B199)&gt;80,"Name too long",IF(COUNTIFS($A$2:$A$1001,A199,$B$2:$B$1001,B199)&gt;1,"Duplicate court name",IF(AND(C199&lt;&gt;"",C199&lt;&gt;"Hard",C199&lt;&gt;"Synthetic",C199&lt;&gt;"Other",C199&lt;&gt;"Not sure"),"Unknown surface",IF(OR(AND(D199&lt;&gt;"Yes",D199&lt;&gt;"No"),AND(E199&lt;&gt;"Yes",E199&lt;&gt;"No"),AND(F199&lt;&gt;"Yes",F199&lt;&gt;"No")),"Use Yes or No","OK")))))))</f>
      </c>
    </row>
    <row r="200">
      <c r="G200" s="4">
        <f>IF(A200="","",IF(COUNTIF(Venues!$A$2:$A$201,A200)=0,"Unknown venue code",IF(OR(B200="",D200="",E200="",F200=""),"Missing details",IF(LEN(B200)&gt;80,"Name too long",IF(COUNTIFS($A$2:$A$1001,A200,$B$2:$B$1001,B200)&gt;1,"Duplicate court name",IF(AND(C200&lt;&gt;"",C200&lt;&gt;"Hard",C200&lt;&gt;"Synthetic",C200&lt;&gt;"Other",C200&lt;&gt;"Not sure"),"Unknown surface",IF(OR(AND(D200&lt;&gt;"Yes",D200&lt;&gt;"No"),AND(E200&lt;&gt;"Yes",E200&lt;&gt;"No"),AND(F200&lt;&gt;"Yes",F200&lt;&gt;"No")),"Use Yes or No","OK")))))))</f>
      </c>
    </row>
    <row r="201">
      <c r="G201" s="4">
        <f>IF(A201="","",IF(COUNTIF(Venues!$A$2:$A$201,A201)=0,"Unknown venue code",IF(OR(B201="",D201="",E201="",F201=""),"Missing details",IF(LEN(B201)&gt;80,"Name too long",IF(COUNTIFS($A$2:$A$1001,A201,$B$2:$B$1001,B201)&gt;1,"Duplicate court name",IF(AND(C201&lt;&gt;"",C201&lt;&gt;"Hard",C201&lt;&gt;"Synthetic",C201&lt;&gt;"Other",C201&lt;&gt;"Not sure"),"Unknown surface",IF(OR(AND(D201&lt;&gt;"Yes",D201&lt;&gt;"No"),AND(E201&lt;&gt;"Yes",E201&lt;&gt;"No"),AND(F201&lt;&gt;"Yes",F201&lt;&gt;"No")),"Use Yes or No","OK")))))))</f>
      </c>
    </row>
    <row r="202">
      <c r="G202" s="4">
        <f>IF(A202="","",IF(COUNTIF(Venues!$A$2:$A$201,A202)=0,"Unknown venue code",IF(OR(B202="",D202="",E202="",F202=""),"Missing details",IF(LEN(B202)&gt;80,"Name too long",IF(COUNTIFS($A$2:$A$1001,A202,$B$2:$B$1001,B202)&gt;1,"Duplicate court name",IF(AND(C202&lt;&gt;"",C202&lt;&gt;"Hard",C202&lt;&gt;"Synthetic",C202&lt;&gt;"Other",C202&lt;&gt;"Not sure"),"Unknown surface",IF(OR(AND(D202&lt;&gt;"Yes",D202&lt;&gt;"No"),AND(E202&lt;&gt;"Yes",E202&lt;&gt;"No"),AND(F202&lt;&gt;"Yes",F202&lt;&gt;"No")),"Use Yes or No","OK")))))))</f>
      </c>
    </row>
    <row r="203">
      <c r="G203" s="4">
        <f>IF(A203="","",IF(COUNTIF(Venues!$A$2:$A$201,A203)=0,"Unknown venue code",IF(OR(B203="",D203="",E203="",F203=""),"Missing details",IF(LEN(B203)&gt;80,"Name too long",IF(COUNTIFS($A$2:$A$1001,A203,$B$2:$B$1001,B203)&gt;1,"Duplicate court name",IF(AND(C203&lt;&gt;"",C203&lt;&gt;"Hard",C203&lt;&gt;"Synthetic",C203&lt;&gt;"Other",C203&lt;&gt;"Not sure"),"Unknown surface",IF(OR(AND(D203&lt;&gt;"Yes",D203&lt;&gt;"No"),AND(E203&lt;&gt;"Yes",E203&lt;&gt;"No"),AND(F203&lt;&gt;"Yes",F203&lt;&gt;"No")),"Use Yes or No","OK")))))))</f>
      </c>
    </row>
    <row r="204">
      <c r="G204" s="4">
        <f>IF(A204="","",IF(COUNTIF(Venues!$A$2:$A$201,A204)=0,"Unknown venue code",IF(OR(B204="",D204="",E204="",F204=""),"Missing details",IF(LEN(B204)&gt;80,"Name too long",IF(COUNTIFS($A$2:$A$1001,A204,$B$2:$B$1001,B204)&gt;1,"Duplicate court name",IF(AND(C204&lt;&gt;"",C204&lt;&gt;"Hard",C204&lt;&gt;"Synthetic",C204&lt;&gt;"Other",C204&lt;&gt;"Not sure"),"Unknown surface",IF(OR(AND(D204&lt;&gt;"Yes",D204&lt;&gt;"No"),AND(E204&lt;&gt;"Yes",E204&lt;&gt;"No"),AND(F204&lt;&gt;"Yes",F204&lt;&gt;"No")),"Use Yes or No","OK")))))))</f>
      </c>
    </row>
    <row r="205">
      <c r="G205" s="4">
        <f>IF(A205="","",IF(COUNTIF(Venues!$A$2:$A$201,A205)=0,"Unknown venue code",IF(OR(B205="",D205="",E205="",F205=""),"Missing details",IF(LEN(B205)&gt;80,"Name too long",IF(COUNTIFS($A$2:$A$1001,A205,$B$2:$B$1001,B205)&gt;1,"Duplicate court name",IF(AND(C205&lt;&gt;"",C205&lt;&gt;"Hard",C205&lt;&gt;"Synthetic",C205&lt;&gt;"Other",C205&lt;&gt;"Not sure"),"Unknown surface",IF(OR(AND(D205&lt;&gt;"Yes",D205&lt;&gt;"No"),AND(E205&lt;&gt;"Yes",E205&lt;&gt;"No"),AND(F205&lt;&gt;"Yes",F205&lt;&gt;"No")),"Use Yes or No","OK")))))))</f>
      </c>
    </row>
    <row r="206">
      <c r="G206" s="4">
        <f>IF(A206="","",IF(COUNTIF(Venues!$A$2:$A$201,A206)=0,"Unknown venue code",IF(OR(B206="",D206="",E206="",F206=""),"Missing details",IF(LEN(B206)&gt;80,"Name too long",IF(COUNTIFS($A$2:$A$1001,A206,$B$2:$B$1001,B206)&gt;1,"Duplicate court name",IF(AND(C206&lt;&gt;"",C206&lt;&gt;"Hard",C206&lt;&gt;"Synthetic",C206&lt;&gt;"Other",C206&lt;&gt;"Not sure"),"Unknown surface",IF(OR(AND(D206&lt;&gt;"Yes",D206&lt;&gt;"No"),AND(E206&lt;&gt;"Yes",E206&lt;&gt;"No"),AND(F206&lt;&gt;"Yes",F206&lt;&gt;"No")),"Use Yes or No","OK")))))))</f>
      </c>
    </row>
    <row r="207">
      <c r="G207" s="4">
        <f>IF(A207="","",IF(COUNTIF(Venues!$A$2:$A$201,A207)=0,"Unknown venue code",IF(OR(B207="",D207="",E207="",F207=""),"Missing details",IF(LEN(B207)&gt;80,"Name too long",IF(COUNTIFS($A$2:$A$1001,A207,$B$2:$B$1001,B207)&gt;1,"Duplicate court name",IF(AND(C207&lt;&gt;"",C207&lt;&gt;"Hard",C207&lt;&gt;"Synthetic",C207&lt;&gt;"Other",C207&lt;&gt;"Not sure"),"Unknown surface",IF(OR(AND(D207&lt;&gt;"Yes",D207&lt;&gt;"No"),AND(E207&lt;&gt;"Yes",E207&lt;&gt;"No"),AND(F207&lt;&gt;"Yes",F207&lt;&gt;"No")),"Use Yes or No","OK")))))))</f>
      </c>
    </row>
    <row r="208">
      <c r="G208" s="4">
        <f>IF(A208="","",IF(COUNTIF(Venues!$A$2:$A$201,A208)=0,"Unknown venue code",IF(OR(B208="",D208="",E208="",F208=""),"Missing details",IF(LEN(B208)&gt;80,"Name too long",IF(COUNTIFS($A$2:$A$1001,A208,$B$2:$B$1001,B208)&gt;1,"Duplicate court name",IF(AND(C208&lt;&gt;"",C208&lt;&gt;"Hard",C208&lt;&gt;"Synthetic",C208&lt;&gt;"Other",C208&lt;&gt;"Not sure"),"Unknown surface",IF(OR(AND(D208&lt;&gt;"Yes",D208&lt;&gt;"No"),AND(E208&lt;&gt;"Yes",E208&lt;&gt;"No"),AND(F208&lt;&gt;"Yes",F208&lt;&gt;"No")),"Use Yes or No","OK")))))))</f>
      </c>
    </row>
    <row r="209">
      <c r="G209" s="4">
        <f>IF(A209="","",IF(COUNTIF(Venues!$A$2:$A$201,A209)=0,"Unknown venue code",IF(OR(B209="",D209="",E209="",F209=""),"Missing details",IF(LEN(B209)&gt;80,"Name too long",IF(COUNTIFS($A$2:$A$1001,A209,$B$2:$B$1001,B209)&gt;1,"Duplicate court name",IF(AND(C209&lt;&gt;"",C209&lt;&gt;"Hard",C209&lt;&gt;"Synthetic",C209&lt;&gt;"Other",C209&lt;&gt;"Not sure"),"Unknown surface",IF(OR(AND(D209&lt;&gt;"Yes",D209&lt;&gt;"No"),AND(E209&lt;&gt;"Yes",E209&lt;&gt;"No"),AND(F209&lt;&gt;"Yes",F209&lt;&gt;"No")),"Use Yes or No","OK")))))))</f>
      </c>
    </row>
    <row r="210">
      <c r="G210" s="4">
        <f>IF(A210="","",IF(COUNTIF(Venues!$A$2:$A$201,A210)=0,"Unknown venue code",IF(OR(B210="",D210="",E210="",F210=""),"Missing details",IF(LEN(B210)&gt;80,"Name too long",IF(COUNTIFS($A$2:$A$1001,A210,$B$2:$B$1001,B210)&gt;1,"Duplicate court name",IF(AND(C210&lt;&gt;"",C210&lt;&gt;"Hard",C210&lt;&gt;"Synthetic",C210&lt;&gt;"Other",C210&lt;&gt;"Not sure"),"Unknown surface",IF(OR(AND(D210&lt;&gt;"Yes",D210&lt;&gt;"No"),AND(E210&lt;&gt;"Yes",E210&lt;&gt;"No"),AND(F210&lt;&gt;"Yes",F210&lt;&gt;"No")),"Use Yes or No","OK")))))))</f>
      </c>
    </row>
    <row r="211">
      <c r="G211" s="4">
        <f>IF(A211="","",IF(COUNTIF(Venues!$A$2:$A$201,A211)=0,"Unknown venue code",IF(OR(B211="",D211="",E211="",F211=""),"Missing details",IF(LEN(B211)&gt;80,"Name too long",IF(COUNTIFS($A$2:$A$1001,A211,$B$2:$B$1001,B211)&gt;1,"Duplicate court name",IF(AND(C211&lt;&gt;"",C211&lt;&gt;"Hard",C211&lt;&gt;"Synthetic",C211&lt;&gt;"Other",C211&lt;&gt;"Not sure"),"Unknown surface",IF(OR(AND(D211&lt;&gt;"Yes",D211&lt;&gt;"No"),AND(E211&lt;&gt;"Yes",E211&lt;&gt;"No"),AND(F211&lt;&gt;"Yes",F211&lt;&gt;"No")),"Use Yes or No","OK")))))))</f>
      </c>
    </row>
    <row r="212">
      <c r="G212" s="4">
        <f>IF(A212="","",IF(COUNTIF(Venues!$A$2:$A$201,A212)=0,"Unknown venue code",IF(OR(B212="",D212="",E212="",F212=""),"Missing details",IF(LEN(B212)&gt;80,"Name too long",IF(COUNTIFS($A$2:$A$1001,A212,$B$2:$B$1001,B212)&gt;1,"Duplicate court name",IF(AND(C212&lt;&gt;"",C212&lt;&gt;"Hard",C212&lt;&gt;"Synthetic",C212&lt;&gt;"Other",C212&lt;&gt;"Not sure"),"Unknown surface",IF(OR(AND(D212&lt;&gt;"Yes",D212&lt;&gt;"No"),AND(E212&lt;&gt;"Yes",E212&lt;&gt;"No"),AND(F212&lt;&gt;"Yes",F212&lt;&gt;"No")),"Use Yes or No","OK")))))))</f>
      </c>
    </row>
    <row r="213">
      <c r="G213" s="4">
        <f>IF(A213="","",IF(COUNTIF(Venues!$A$2:$A$201,A213)=0,"Unknown venue code",IF(OR(B213="",D213="",E213="",F213=""),"Missing details",IF(LEN(B213)&gt;80,"Name too long",IF(COUNTIFS($A$2:$A$1001,A213,$B$2:$B$1001,B213)&gt;1,"Duplicate court name",IF(AND(C213&lt;&gt;"",C213&lt;&gt;"Hard",C213&lt;&gt;"Synthetic",C213&lt;&gt;"Other",C213&lt;&gt;"Not sure"),"Unknown surface",IF(OR(AND(D213&lt;&gt;"Yes",D213&lt;&gt;"No"),AND(E213&lt;&gt;"Yes",E213&lt;&gt;"No"),AND(F213&lt;&gt;"Yes",F213&lt;&gt;"No")),"Use Yes or No","OK")))))))</f>
      </c>
    </row>
    <row r="214">
      <c r="G214" s="4">
        <f>IF(A214="","",IF(COUNTIF(Venues!$A$2:$A$201,A214)=0,"Unknown venue code",IF(OR(B214="",D214="",E214="",F214=""),"Missing details",IF(LEN(B214)&gt;80,"Name too long",IF(COUNTIFS($A$2:$A$1001,A214,$B$2:$B$1001,B214)&gt;1,"Duplicate court name",IF(AND(C214&lt;&gt;"",C214&lt;&gt;"Hard",C214&lt;&gt;"Synthetic",C214&lt;&gt;"Other",C214&lt;&gt;"Not sure"),"Unknown surface",IF(OR(AND(D214&lt;&gt;"Yes",D214&lt;&gt;"No"),AND(E214&lt;&gt;"Yes",E214&lt;&gt;"No"),AND(F214&lt;&gt;"Yes",F214&lt;&gt;"No")),"Use Yes or No","OK")))))))</f>
      </c>
    </row>
    <row r="215">
      <c r="G215" s="4">
        <f>IF(A215="","",IF(COUNTIF(Venues!$A$2:$A$201,A215)=0,"Unknown venue code",IF(OR(B215="",D215="",E215="",F215=""),"Missing details",IF(LEN(B215)&gt;80,"Name too long",IF(COUNTIFS($A$2:$A$1001,A215,$B$2:$B$1001,B215)&gt;1,"Duplicate court name",IF(AND(C215&lt;&gt;"",C215&lt;&gt;"Hard",C215&lt;&gt;"Synthetic",C215&lt;&gt;"Other",C215&lt;&gt;"Not sure"),"Unknown surface",IF(OR(AND(D215&lt;&gt;"Yes",D215&lt;&gt;"No"),AND(E215&lt;&gt;"Yes",E215&lt;&gt;"No"),AND(F215&lt;&gt;"Yes",F215&lt;&gt;"No")),"Use Yes or No","OK")))))))</f>
      </c>
    </row>
    <row r="216">
      <c r="G216" s="4">
        <f>IF(A216="","",IF(COUNTIF(Venues!$A$2:$A$201,A216)=0,"Unknown venue code",IF(OR(B216="",D216="",E216="",F216=""),"Missing details",IF(LEN(B216)&gt;80,"Name too long",IF(COUNTIFS($A$2:$A$1001,A216,$B$2:$B$1001,B216)&gt;1,"Duplicate court name",IF(AND(C216&lt;&gt;"",C216&lt;&gt;"Hard",C216&lt;&gt;"Synthetic",C216&lt;&gt;"Other",C216&lt;&gt;"Not sure"),"Unknown surface",IF(OR(AND(D216&lt;&gt;"Yes",D216&lt;&gt;"No"),AND(E216&lt;&gt;"Yes",E216&lt;&gt;"No"),AND(F216&lt;&gt;"Yes",F216&lt;&gt;"No")),"Use Yes or No","OK")))))))</f>
      </c>
    </row>
    <row r="217">
      <c r="G217" s="4">
        <f>IF(A217="","",IF(COUNTIF(Venues!$A$2:$A$201,A217)=0,"Unknown venue code",IF(OR(B217="",D217="",E217="",F217=""),"Missing details",IF(LEN(B217)&gt;80,"Name too long",IF(COUNTIFS($A$2:$A$1001,A217,$B$2:$B$1001,B217)&gt;1,"Duplicate court name",IF(AND(C217&lt;&gt;"",C217&lt;&gt;"Hard",C217&lt;&gt;"Synthetic",C217&lt;&gt;"Other",C217&lt;&gt;"Not sure"),"Unknown surface",IF(OR(AND(D217&lt;&gt;"Yes",D217&lt;&gt;"No"),AND(E217&lt;&gt;"Yes",E217&lt;&gt;"No"),AND(F217&lt;&gt;"Yes",F217&lt;&gt;"No")),"Use Yes or No","OK")))))))</f>
      </c>
    </row>
    <row r="218">
      <c r="G218" s="4">
        <f>IF(A218="","",IF(COUNTIF(Venues!$A$2:$A$201,A218)=0,"Unknown venue code",IF(OR(B218="",D218="",E218="",F218=""),"Missing details",IF(LEN(B218)&gt;80,"Name too long",IF(COUNTIFS($A$2:$A$1001,A218,$B$2:$B$1001,B218)&gt;1,"Duplicate court name",IF(AND(C218&lt;&gt;"",C218&lt;&gt;"Hard",C218&lt;&gt;"Synthetic",C218&lt;&gt;"Other",C218&lt;&gt;"Not sure"),"Unknown surface",IF(OR(AND(D218&lt;&gt;"Yes",D218&lt;&gt;"No"),AND(E218&lt;&gt;"Yes",E218&lt;&gt;"No"),AND(F218&lt;&gt;"Yes",F218&lt;&gt;"No")),"Use Yes or No","OK")))))))</f>
      </c>
    </row>
    <row r="219">
      <c r="G219" s="4">
        <f>IF(A219="","",IF(COUNTIF(Venues!$A$2:$A$201,A219)=0,"Unknown venue code",IF(OR(B219="",D219="",E219="",F219=""),"Missing details",IF(LEN(B219)&gt;80,"Name too long",IF(COUNTIFS($A$2:$A$1001,A219,$B$2:$B$1001,B219)&gt;1,"Duplicate court name",IF(AND(C219&lt;&gt;"",C219&lt;&gt;"Hard",C219&lt;&gt;"Synthetic",C219&lt;&gt;"Other",C219&lt;&gt;"Not sure"),"Unknown surface",IF(OR(AND(D219&lt;&gt;"Yes",D219&lt;&gt;"No"),AND(E219&lt;&gt;"Yes",E219&lt;&gt;"No"),AND(F219&lt;&gt;"Yes",F219&lt;&gt;"No")),"Use Yes or No","OK")))))))</f>
      </c>
    </row>
    <row r="220">
      <c r="G220" s="4">
        <f>IF(A220="","",IF(COUNTIF(Venues!$A$2:$A$201,A220)=0,"Unknown venue code",IF(OR(B220="",D220="",E220="",F220=""),"Missing details",IF(LEN(B220)&gt;80,"Name too long",IF(COUNTIFS($A$2:$A$1001,A220,$B$2:$B$1001,B220)&gt;1,"Duplicate court name",IF(AND(C220&lt;&gt;"",C220&lt;&gt;"Hard",C220&lt;&gt;"Synthetic",C220&lt;&gt;"Other",C220&lt;&gt;"Not sure"),"Unknown surface",IF(OR(AND(D220&lt;&gt;"Yes",D220&lt;&gt;"No"),AND(E220&lt;&gt;"Yes",E220&lt;&gt;"No"),AND(F220&lt;&gt;"Yes",F220&lt;&gt;"No")),"Use Yes or No","OK")))))))</f>
      </c>
    </row>
    <row r="221">
      <c r="G221" s="4">
        <f>IF(A221="","",IF(COUNTIF(Venues!$A$2:$A$201,A221)=0,"Unknown venue code",IF(OR(B221="",D221="",E221="",F221=""),"Missing details",IF(LEN(B221)&gt;80,"Name too long",IF(COUNTIFS($A$2:$A$1001,A221,$B$2:$B$1001,B221)&gt;1,"Duplicate court name",IF(AND(C221&lt;&gt;"",C221&lt;&gt;"Hard",C221&lt;&gt;"Synthetic",C221&lt;&gt;"Other",C221&lt;&gt;"Not sure"),"Unknown surface",IF(OR(AND(D221&lt;&gt;"Yes",D221&lt;&gt;"No"),AND(E221&lt;&gt;"Yes",E221&lt;&gt;"No"),AND(F221&lt;&gt;"Yes",F221&lt;&gt;"No")),"Use Yes or No","OK")))))))</f>
      </c>
    </row>
    <row r="222">
      <c r="G222" s="4">
        <f>IF(A222="","",IF(COUNTIF(Venues!$A$2:$A$201,A222)=0,"Unknown venue code",IF(OR(B222="",D222="",E222="",F222=""),"Missing details",IF(LEN(B222)&gt;80,"Name too long",IF(COUNTIFS($A$2:$A$1001,A222,$B$2:$B$1001,B222)&gt;1,"Duplicate court name",IF(AND(C222&lt;&gt;"",C222&lt;&gt;"Hard",C222&lt;&gt;"Synthetic",C222&lt;&gt;"Other",C222&lt;&gt;"Not sure"),"Unknown surface",IF(OR(AND(D222&lt;&gt;"Yes",D222&lt;&gt;"No"),AND(E222&lt;&gt;"Yes",E222&lt;&gt;"No"),AND(F222&lt;&gt;"Yes",F222&lt;&gt;"No")),"Use Yes or No","OK")))))))</f>
      </c>
    </row>
    <row r="223">
      <c r="G223" s="4">
        <f>IF(A223="","",IF(COUNTIF(Venues!$A$2:$A$201,A223)=0,"Unknown venue code",IF(OR(B223="",D223="",E223="",F223=""),"Missing details",IF(LEN(B223)&gt;80,"Name too long",IF(COUNTIFS($A$2:$A$1001,A223,$B$2:$B$1001,B223)&gt;1,"Duplicate court name",IF(AND(C223&lt;&gt;"",C223&lt;&gt;"Hard",C223&lt;&gt;"Synthetic",C223&lt;&gt;"Other",C223&lt;&gt;"Not sure"),"Unknown surface",IF(OR(AND(D223&lt;&gt;"Yes",D223&lt;&gt;"No"),AND(E223&lt;&gt;"Yes",E223&lt;&gt;"No"),AND(F223&lt;&gt;"Yes",F223&lt;&gt;"No")),"Use Yes or No","OK")))))))</f>
      </c>
    </row>
    <row r="224">
      <c r="G224" s="4">
        <f>IF(A224="","",IF(COUNTIF(Venues!$A$2:$A$201,A224)=0,"Unknown venue code",IF(OR(B224="",D224="",E224="",F224=""),"Missing details",IF(LEN(B224)&gt;80,"Name too long",IF(COUNTIFS($A$2:$A$1001,A224,$B$2:$B$1001,B224)&gt;1,"Duplicate court name",IF(AND(C224&lt;&gt;"",C224&lt;&gt;"Hard",C224&lt;&gt;"Synthetic",C224&lt;&gt;"Other",C224&lt;&gt;"Not sure"),"Unknown surface",IF(OR(AND(D224&lt;&gt;"Yes",D224&lt;&gt;"No"),AND(E224&lt;&gt;"Yes",E224&lt;&gt;"No"),AND(F224&lt;&gt;"Yes",F224&lt;&gt;"No")),"Use Yes or No","OK")))))))</f>
      </c>
    </row>
    <row r="225">
      <c r="G225" s="4">
        <f>IF(A225="","",IF(COUNTIF(Venues!$A$2:$A$201,A225)=0,"Unknown venue code",IF(OR(B225="",D225="",E225="",F225=""),"Missing details",IF(LEN(B225)&gt;80,"Name too long",IF(COUNTIFS($A$2:$A$1001,A225,$B$2:$B$1001,B225)&gt;1,"Duplicate court name",IF(AND(C225&lt;&gt;"",C225&lt;&gt;"Hard",C225&lt;&gt;"Synthetic",C225&lt;&gt;"Other",C225&lt;&gt;"Not sure"),"Unknown surface",IF(OR(AND(D225&lt;&gt;"Yes",D225&lt;&gt;"No"),AND(E225&lt;&gt;"Yes",E225&lt;&gt;"No"),AND(F225&lt;&gt;"Yes",F225&lt;&gt;"No")),"Use Yes or No","OK")))))))</f>
      </c>
    </row>
    <row r="226">
      <c r="G226" s="4">
        <f>IF(A226="","",IF(COUNTIF(Venues!$A$2:$A$201,A226)=0,"Unknown venue code",IF(OR(B226="",D226="",E226="",F226=""),"Missing details",IF(LEN(B226)&gt;80,"Name too long",IF(COUNTIFS($A$2:$A$1001,A226,$B$2:$B$1001,B226)&gt;1,"Duplicate court name",IF(AND(C226&lt;&gt;"",C226&lt;&gt;"Hard",C226&lt;&gt;"Synthetic",C226&lt;&gt;"Other",C226&lt;&gt;"Not sure"),"Unknown surface",IF(OR(AND(D226&lt;&gt;"Yes",D226&lt;&gt;"No"),AND(E226&lt;&gt;"Yes",E226&lt;&gt;"No"),AND(F226&lt;&gt;"Yes",F226&lt;&gt;"No")),"Use Yes or No","OK")))))))</f>
      </c>
    </row>
    <row r="227">
      <c r="G227" s="4">
        <f>IF(A227="","",IF(COUNTIF(Venues!$A$2:$A$201,A227)=0,"Unknown venue code",IF(OR(B227="",D227="",E227="",F227=""),"Missing details",IF(LEN(B227)&gt;80,"Name too long",IF(COUNTIFS($A$2:$A$1001,A227,$B$2:$B$1001,B227)&gt;1,"Duplicate court name",IF(AND(C227&lt;&gt;"",C227&lt;&gt;"Hard",C227&lt;&gt;"Synthetic",C227&lt;&gt;"Other",C227&lt;&gt;"Not sure"),"Unknown surface",IF(OR(AND(D227&lt;&gt;"Yes",D227&lt;&gt;"No"),AND(E227&lt;&gt;"Yes",E227&lt;&gt;"No"),AND(F227&lt;&gt;"Yes",F227&lt;&gt;"No")),"Use Yes or No","OK")))))))</f>
      </c>
    </row>
    <row r="228">
      <c r="G228" s="4">
        <f>IF(A228="","",IF(COUNTIF(Venues!$A$2:$A$201,A228)=0,"Unknown venue code",IF(OR(B228="",D228="",E228="",F228=""),"Missing details",IF(LEN(B228)&gt;80,"Name too long",IF(COUNTIFS($A$2:$A$1001,A228,$B$2:$B$1001,B228)&gt;1,"Duplicate court name",IF(AND(C228&lt;&gt;"",C228&lt;&gt;"Hard",C228&lt;&gt;"Synthetic",C228&lt;&gt;"Other",C228&lt;&gt;"Not sure"),"Unknown surface",IF(OR(AND(D228&lt;&gt;"Yes",D228&lt;&gt;"No"),AND(E228&lt;&gt;"Yes",E228&lt;&gt;"No"),AND(F228&lt;&gt;"Yes",F228&lt;&gt;"No")),"Use Yes or No","OK")))))))</f>
      </c>
    </row>
    <row r="229">
      <c r="G229" s="4">
        <f>IF(A229="","",IF(COUNTIF(Venues!$A$2:$A$201,A229)=0,"Unknown venue code",IF(OR(B229="",D229="",E229="",F229=""),"Missing details",IF(LEN(B229)&gt;80,"Name too long",IF(COUNTIFS($A$2:$A$1001,A229,$B$2:$B$1001,B229)&gt;1,"Duplicate court name",IF(AND(C229&lt;&gt;"",C229&lt;&gt;"Hard",C229&lt;&gt;"Synthetic",C229&lt;&gt;"Other",C229&lt;&gt;"Not sure"),"Unknown surface",IF(OR(AND(D229&lt;&gt;"Yes",D229&lt;&gt;"No"),AND(E229&lt;&gt;"Yes",E229&lt;&gt;"No"),AND(F229&lt;&gt;"Yes",F229&lt;&gt;"No")),"Use Yes or No","OK")))))))</f>
      </c>
    </row>
    <row r="230">
      <c r="G230" s="4">
        <f>IF(A230="","",IF(COUNTIF(Venues!$A$2:$A$201,A230)=0,"Unknown venue code",IF(OR(B230="",D230="",E230="",F230=""),"Missing details",IF(LEN(B230)&gt;80,"Name too long",IF(COUNTIFS($A$2:$A$1001,A230,$B$2:$B$1001,B230)&gt;1,"Duplicate court name",IF(AND(C230&lt;&gt;"",C230&lt;&gt;"Hard",C230&lt;&gt;"Synthetic",C230&lt;&gt;"Other",C230&lt;&gt;"Not sure"),"Unknown surface",IF(OR(AND(D230&lt;&gt;"Yes",D230&lt;&gt;"No"),AND(E230&lt;&gt;"Yes",E230&lt;&gt;"No"),AND(F230&lt;&gt;"Yes",F230&lt;&gt;"No")),"Use Yes or No","OK")))))))</f>
      </c>
    </row>
    <row r="231">
      <c r="G231" s="4">
        <f>IF(A231="","",IF(COUNTIF(Venues!$A$2:$A$201,A231)=0,"Unknown venue code",IF(OR(B231="",D231="",E231="",F231=""),"Missing details",IF(LEN(B231)&gt;80,"Name too long",IF(COUNTIFS($A$2:$A$1001,A231,$B$2:$B$1001,B231)&gt;1,"Duplicate court name",IF(AND(C231&lt;&gt;"",C231&lt;&gt;"Hard",C231&lt;&gt;"Synthetic",C231&lt;&gt;"Other",C231&lt;&gt;"Not sure"),"Unknown surface",IF(OR(AND(D231&lt;&gt;"Yes",D231&lt;&gt;"No"),AND(E231&lt;&gt;"Yes",E231&lt;&gt;"No"),AND(F231&lt;&gt;"Yes",F231&lt;&gt;"No")),"Use Yes or No","OK")))))))</f>
      </c>
    </row>
    <row r="232">
      <c r="G232" s="4">
        <f>IF(A232="","",IF(COUNTIF(Venues!$A$2:$A$201,A232)=0,"Unknown venue code",IF(OR(B232="",D232="",E232="",F232=""),"Missing details",IF(LEN(B232)&gt;80,"Name too long",IF(COUNTIFS($A$2:$A$1001,A232,$B$2:$B$1001,B232)&gt;1,"Duplicate court name",IF(AND(C232&lt;&gt;"",C232&lt;&gt;"Hard",C232&lt;&gt;"Synthetic",C232&lt;&gt;"Other",C232&lt;&gt;"Not sure"),"Unknown surface",IF(OR(AND(D232&lt;&gt;"Yes",D232&lt;&gt;"No"),AND(E232&lt;&gt;"Yes",E232&lt;&gt;"No"),AND(F232&lt;&gt;"Yes",F232&lt;&gt;"No")),"Use Yes or No","OK")))))))</f>
      </c>
    </row>
    <row r="233">
      <c r="G233" s="4">
        <f>IF(A233="","",IF(COUNTIF(Venues!$A$2:$A$201,A233)=0,"Unknown venue code",IF(OR(B233="",D233="",E233="",F233=""),"Missing details",IF(LEN(B233)&gt;80,"Name too long",IF(COUNTIFS($A$2:$A$1001,A233,$B$2:$B$1001,B233)&gt;1,"Duplicate court name",IF(AND(C233&lt;&gt;"",C233&lt;&gt;"Hard",C233&lt;&gt;"Synthetic",C233&lt;&gt;"Other",C233&lt;&gt;"Not sure"),"Unknown surface",IF(OR(AND(D233&lt;&gt;"Yes",D233&lt;&gt;"No"),AND(E233&lt;&gt;"Yes",E233&lt;&gt;"No"),AND(F233&lt;&gt;"Yes",F233&lt;&gt;"No")),"Use Yes or No","OK")))))))</f>
      </c>
    </row>
    <row r="234">
      <c r="G234" s="4">
        <f>IF(A234="","",IF(COUNTIF(Venues!$A$2:$A$201,A234)=0,"Unknown venue code",IF(OR(B234="",D234="",E234="",F234=""),"Missing details",IF(LEN(B234)&gt;80,"Name too long",IF(COUNTIFS($A$2:$A$1001,A234,$B$2:$B$1001,B234)&gt;1,"Duplicate court name",IF(AND(C234&lt;&gt;"",C234&lt;&gt;"Hard",C234&lt;&gt;"Synthetic",C234&lt;&gt;"Other",C234&lt;&gt;"Not sure"),"Unknown surface",IF(OR(AND(D234&lt;&gt;"Yes",D234&lt;&gt;"No"),AND(E234&lt;&gt;"Yes",E234&lt;&gt;"No"),AND(F234&lt;&gt;"Yes",F234&lt;&gt;"No")),"Use Yes or No","OK")))))))</f>
      </c>
    </row>
    <row r="235">
      <c r="G235" s="4">
        <f>IF(A235="","",IF(COUNTIF(Venues!$A$2:$A$201,A235)=0,"Unknown venue code",IF(OR(B235="",D235="",E235="",F235=""),"Missing details",IF(LEN(B235)&gt;80,"Name too long",IF(COUNTIFS($A$2:$A$1001,A235,$B$2:$B$1001,B235)&gt;1,"Duplicate court name",IF(AND(C235&lt;&gt;"",C235&lt;&gt;"Hard",C235&lt;&gt;"Synthetic",C235&lt;&gt;"Other",C235&lt;&gt;"Not sure"),"Unknown surface",IF(OR(AND(D235&lt;&gt;"Yes",D235&lt;&gt;"No"),AND(E235&lt;&gt;"Yes",E235&lt;&gt;"No"),AND(F235&lt;&gt;"Yes",F235&lt;&gt;"No")),"Use Yes or No","OK")))))))</f>
      </c>
    </row>
    <row r="236">
      <c r="G236" s="4">
        <f>IF(A236="","",IF(COUNTIF(Venues!$A$2:$A$201,A236)=0,"Unknown venue code",IF(OR(B236="",D236="",E236="",F236=""),"Missing details",IF(LEN(B236)&gt;80,"Name too long",IF(COUNTIFS($A$2:$A$1001,A236,$B$2:$B$1001,B236)&gt;1,"Duplicate court name",IF(AND(C236&lt;&gt;"",C236&lt;&gt;"Hard",C236&lt;&gt;"Synthetic",C236&lt;&gt;"Other",C236&lt;&gt;"Not sure"),"Unknown surface",IF(OR(AND(D236&lt;&gt;"Yes",D236&lt;&gt;"No"),AND(E236&lt;&gt;"Yes",E236&lt;&gt;"No"),AND(F236&lt;&gt;"Yes",F236&lt;&gt;"No")),"Use Yes or No","OK")))))))</f>
      </c>
    </row>
    <row r="237">
      <c r="G237" s="4">
        <f>IF(A237="","",IF(COUNTIF(Venues!$A$2:$A$201,A237)=0,"Unknown venue code",IF(OR(B237="",D237="",E237="",F237=""),"Missing details",IF(LEN(B237)&gt;80,"Name too long",IF(COUNTIFS($A$2:$A$1001,A237,$B$2:$B$1001,B237)&gt;1,"Duplicate court name",IF(AND(C237&lt;&gt;"",C237&lt;&gt;"Hard",C237&lt;&gt;"Synthetic",C237&lt;&gt;"Other",C237&lt;&gt;"Not sure"),"Unknown surface",IF(OR(AND(D237&lt;&gt;"Yes",D237&lt;&gt;"No"),AND(E237&lt;&gt;"Yes",E237&lt;&gt;"No"),AND(F237&lt;&gt;"Yes",F237&lt;&gt;"No")),"Use Yes or No","OK")))))))</f>
      </c>
    </row>
    <row r="238">
      <c r="G238" s="4">
        <f>IF(A238="","",IF(COUNTIF(Venues!$A$2:$A$201,A238)=0,"Unknown venue code",IF(OR(B238="",D238="",E238="",F238=""),"Missing details",IF(LEN(B238)&gt;80,"Name too long",IF(COUNTIFS($A$2:$A$1001,A238,$B$2:$B$1001,B238)&gt;1,"Duplicate court name",IF(AND(C238&lt;&gt;"",C238&lt;&gt;"Hard",C238&lt;&gt;"Synthetic",C238&lt;&gt;"Other",C238&lt;&gt;"Not sure"),"Unknown surface",IF(OR(AND(D238&lt;&gt;"Yes",D238&lt;&gt;"No"),AND(E238&lt;&gt;"Yes",E238&lt;&gt;"No"),AND(F238&lt;&gt;"Yes",F238&lt;&gt;"No")),"Use Yes or No","OK")))))))</f>
      </c>
    </row>
    <row r="239">
      <c r="G239" s="4">
        <f>IF(A239="","",IF(COUNTIF(Venues!$A$2:$A$201,A239)=0,"Unknown venue code",IF(OR(B239="",D239="",E239="",F239=""),"Missing details",IF(LEN(B239)&gt;80,"Name too long",IF(COUNTIFS($A$2:$A$1001,A239,$B$2:$B$1001,B239)&gt;1,"Duplicate court name",IF(AND(C239&lt;&gt;"",C239&lt;&gt;"Hard",C239&lt;&gt;"Synthetic",C239&lt;&gt;"Other",C239&lt;&gt;"Not sure"),"Unknown surface",IF(OR(AND(D239&lt;&gt;"Yes",D239&lt;&gt;"No"),AND(E239&lt;&gt;"Yes",E239&lt;&gt;"No"),AND(F239&lt;&gt;"Yes",F239&lt;&gt;"No")),"Use Yes or No","OK")))))))</f>
      </c>
    </row>
    <row r="240">
      <c r="G240" s="4">
        <f>IF(A240="","",IF(COUNTIF(Venues!$A$2:$A$201,A240)=0,"Unknown venue code",IF(OR(B240="",D240="",E240="",F240=""),"Missing details",IF(LEN(B240)&gt;80,"Name too long",IF(COUNTIFS($A$2:$A$1001,A240,$B$2:$B$1001,B240)&gt;1,"Duplicate court name",IF(AND(C240&lt;&gt;"",C240&lt;&gt;"Hard",C240&lt;&gt;"Synthetic",C240&lt;&gt;"Other",C240&lt;&gt;"Not sure"),"Unknown surface",IF(OR(AND(D240&lt;&gt;"Yes",D240&lt;&gt;"No"),AND(E240&lt;&gt;"Yes",E240&lt;&gt;"No"),AND(F240&lt;&gt;"Yes",F240&lt;&gt;"No")),"Use Yes or No","OK")))))))</f>
      </c>
    </row>
    <row r="241">
      <c r="G241" s="4">
        <f>IF(A241="","",IF(COUNTIF(Venues!$A$2:$A$201,A241)=0,"Unknown venue code",IF(OR(B241="",D241="",E241="",F241=""),"Missing details",IF(LEN(B241)&gt;80,"Name too long",IF(COUNTIFS($A$2:$A$1001,A241,$B$2:$B$1001,B241)&gt;1,"Duplicate court name",IF(AND(C241&lt;&gt;"",C241&lt;&gt;"Hard",C241&lt;&gt;"Synthetic",C241&lt;&gt;"Other",C241&lt;&gt;"Not sure"),"Unknown surface",IF(OR(AND(D241&lt;&gt;"Yes",D241&lt;&gt;"No"),AND(E241&lt;&gt;"Yes",E241&lt;&gt;"No"),AND(F241&lt;&gt;"Yes",F241&lt;&gt;"No")),"Use Yes or No","OK")))))))</f>
      </c>
    </row>
    <row r="242">
      <c r="G242" s="4">
        <f>IF(A242="","",IF(COUNTIF(Venues!$A$2:$A$201,A242)=0,"Unknown venue code",IF(OR(B242="",D242="",E242="",F242=""),"Missing details",IF(LEN(B242)&gt;80,"Name too long",IF(COUNTIFS($A$2:$A$1001,A242,$B$2:$B$1001,B242)&gt;1,"Duplicate court name",IF(AND(C242&lt;&gt;"",C242&lt;&gt;"Hard",C242&lt;&gt;"Synthetic",C242&lt;&gt;"Other",C242&lt;&gt;"Not sure"),"Unknown surface",IF(OR(AND(D242&lt;&gt;"Yes",D242&lt;&gt;"No"),AND(E242&lt;&gt;"Yes",E242&lt;&gt;"No"),AND(F242&lt;&gt;"Yes",F242&lt;&gt;"No")),"Use Yes or No","OK")))))))</f>
      </c>
    </row>
    <row r="243">
      <c r="G243" s="4">
        <f>IF(A243="","",IF(COUNTIF(Venues!$A$2:$A$201,A243)=0,"Unknown venue code",IF(OR(B243="",D243="",E243="",F243=""),"Missing details",IF(LEN(B243)&gt;80,"Name too long",IF(COUNTIFS($A$2:$A$1001,A243,$B$2:$B$1001,B243)&gt;1,"Duplicate court name",IF(AND(C243&lt;&gt;"",C243&lt;&gt;"Hard",C243&lt;&gt;"Synthetic",C243&lt;&gt;"Other",C243&lt;&gt;"Not sure"),"Unknown surface",IF(OR(AND(D243&lt;&gt;"Yes",D243&lt;&gt;"No"),AND(E243&lt;&gt;"Yes",E243&lt;&gt;"No"),AND(F243&lt;&gt;"Yes",F243&lt;&gt;"No")),"Use Yes or No","OK")))))))</f>
      </c>
    </row>
    <row r="244">
      <c r="G244" s="4">
        <f>IF(A244="","",IF(COUNTIF(Venues!$A$2:$A$201,A244)=0,"Unknown venue code",IF(OR(B244="",D244="",E244="",F244=""),"Missing details",IF(LEN(B244)&gt;80,"Name too long",IF(COUNTIFS($A$2:$A$1001,A244,$B$2:$B$1001,B244)&gt;1,"Duplicate court name",IF(AND(C244&lt;&gt;"",C244&lt;&gt;"Hard",C244&lt;&gt;"Synthetic",C244&lt;&gt;"Other",C244&lt;&gt;"Not sure"),"Unknown surface",IF(OR(AND(D244&lt;&gt;"Yes",D244&lt;&gt;"No"),AND(E244&lt;&gt;"Yes",E244&lt;&gt;"No"),AND(F244&lt;&gt;"Yes",F244&lt;&gt;"No")),"Use Yes or No","OK")))))))</f>
      </c>
    </row>
    <row r="245">
      <c r="G245" s="4">
        <f>IF(A245="","",IF(COUNTIF(Venues!$A$2:$A$201,A245)=0,"Unknown venue code",IF(OR(B245="",D245="",E245="",F245=""),"Missing details",IF(LEN(B245)&gt;80,"Name too long",IF(COUNTIFS($A$2:$A$1001,A245,$B$2:$B$1001,B245)&gt;1,"Duplicate court name",IF(AND(C245&lt;&gt;"",C245&lt;&gt;"Hard",C245&lt;&gt;"Synthetic",C245&lt;&gt;"Other",C245&lt;&gt;"Not sure"),"Unknown surface",IF(OR(AND(D245&lt;&gt;"Yes",D245&lt;&gt;"No"),AND(E245&lt;&gt;"Yes",E245&lt;&gt;"No"),AND(F245&lt;&gt;"Yes",F245&lt;&gt;"No")),"Use Yes or No","OK")))))))</f>
      </c>
    </row>
    <row r="246">
      <c r="G246" s="4">
        <f>IF(A246="","",IF(COUNTIF(Venues!$A$2:$A$201,A246)=0,"Unknown venue code",IF(OR(B246="",D246="",E246="",F246=""),"Missing details",IF(LEN(B246)&gt;80,"Name too long",IF(COUNTIFS($A$2:$A$1001,A246,$B$2:$B$1001,B246)&gt;1,"Duplicate court name",IF(AND(C246&lt;&gt;"",C246&lt;&gt;"Hard",C246&lt;&gt;"Synthetic",C246&lt;&gt;"Other",C246&lt;&gt;"Not sure"),"Unknown surface",IF(OR(AND(D246&lt;&gt;"Yes",D246&lt;&gt;"No"),AND(E246&lt;&gt;"Yes",E246&lt;&gt;"No"),AND(F246&lt;&gt;"Yes",F246&lt;&gt;"No")),"Use Yes or No","OK")))))))</f>
      </c>
    </row>
    <row r="247">
      <c r="G247" s="4">
        <f>IF(A247="","",IF(COUNTIF(Venues!$A$2:$A$201,A247)=0,"Unknown venue code",IF(OR(B247="",D247="",E247="",F247=""),"Missing details",IF(LEN(B247)&gt;80,"Name too long",IF(COUNTIFS($A$2:$A$1001,A247,$B$2:$B$1001,B247)&gt;1,"Duplicate court name",IF(AND(C247&lt;&gt;"",C247&lt;&gt;"Hard",C247&lt;&gt;"Synthetic",C247&lt;&gt;"Other",C247&lt;&gt;"Not sure"),"Unknown surface",IF(OR(AND(D247&lt;&gt;"Yes",D247&lt;&gt;"No"),AND(E247&lt;&gt;"Yes",E247&lt;&gt;"No"),AND(F247&lt;&gt;"Yes",F247&lt;&gt;"No")),"Use Yes or No","OK")))))))</f>
      </c>
    </row>
    <row r="248">
      <c r="G248" s="4">
        <f>IF(A248="","",IF(COUNTIF(Venues!$A$2:$A$201,A248)=0,"Unknown venue code",IF(OR(B248="",D248="",E248="",F248=""),"Missing details",IF(LEN(B248)&gt;80,"Name too long",IF(COUNTIFS($A$2:$A$1001,A248,$B$2:$B$1001,B248)&gt;1,"Duplicate court name",IF(AND(C248&lt;&gt;"",C248&lt;&gt;"Hard",C248&lt;&gt;"Synthetic",C248&lt;&gt;"Other",C248&lt;&gt;"Not sure"),"Unknown surface",IF(OR(AND(D248&lt;&gt;"Yes",D248&lt;&gt;"No"),AND(E248&lt;&gt;"Yes",E248&lt;&gt;"No"),AND(F248&lt;&gt;"Yes",F248&lt;&gt;"No")),"Use Yes or No","OK")))))))</f>
      </c>
    </row>
    <row r="249">
      <c r="G249" s="4">
        <f>IF(A249="","",IF(COUNTIF(Venues!$A$2:$A$201,A249)=0,"Unknown venue code",IF(OR(B249="",D249="",E249="",F249=""),"Missing details",IF(LEN(B249)&gt;80,"Name too long",IF(COUNTIFS($A$2:$A$1001,A249,$B$2:$B$1001,B249)&gt;1,"Duplicate court name",IF(AND(C249&lt;&gt;"",C249&lt;&gt;"Hard",C249&lt;&gt;"Synthetic",C249&lt;&gt;"Other",C249&lt;&gt;"Not sure"),"Unknown surface",IF(OR(AND(D249&lt;&gt;"Yes",D249&lt;&gt;"No"),AND(E249&lt;&gt;"Yes",E249&lt;&gt;"No"),AND(F249&lt;&gt;"Yes",F249&lt;&gt;"No")),"Use Yes or No","OK")))))))</f>
      </c>
    </row>
    <row r="250">
      <c r="G250" s="4">
        <f>IF(A250="","",IF(COUNTIF(Venues!$A$2:$A$201,A250)=0,"Unknown venue code",IF(OR(B250="",D250="",E250="",F250=""),"Missing details",IF(LEN(B250)&gt;80,"Name too long",IF(COUNTIFS($A$2:$A$1001,A250,$B$2:$B$1001,B250)&gt;1,"Duplicate court name",IF(AND(C250&lt;&gt;"",C250&lt;&gt;"Hard",C250&lt;&gt;"Synthetic",C250&lt;&gt;"Other",C250&lt;&gt;"Not sure"),"Unknown surface",IF(OR(AND(D250&lt;&gt;"Yes",D250&lt;&gt;"No"),AND(E250&lt;&gt;"Yes",E250&lt;&gt;"No"),AND(F250&lt;&gt;"Yes",F250&lt;&gt;"No")),"Use Yes or No","OK")))))))</f>
      </c>
    </row>
    <row r="251">
      <c r="G251" s="4">
        <f>IF(A251="","",IF(COUNTIF(Venues!$A$2:$A$201,A251)=0,"Unknown venue code",IF(OR(B251="",D251="",E251="",F251=""),"Missing details",IF(LEN(B251)&gt;80,"Name too long",IF(COUNTIFS($A$2:$A$1001,A251,$B$2:$B$1001,B251)&gt;1,"Duplicate court name",IF(AND(C251&lt;&gt;"",C251&lt;&gt;"Hard",C251&lt;&gt;"Synthetic",C251&lt;&gt;"Other",C251&lt;&gt;"Not sure"),"Unknown surface",IF(OR(AND(D251&lt;&gt;"Yes",D251&lt;&gt;"No"),AND(E251&lt;&gt;"Yes",E251&lt;&gt;"No"),AND(F251&lt;&gt;"Yes",F251&lt;&gt;"No")),"Use Yes or No","OK")))))))</f>
      </c>
    </row>
    <row r="252">
      <c r="G252" s="4">
        <f>IF(A252="","",IF(COUNTIF(Venues!$A$2:$A$201,A252)=0,"Unknown venue code",IF(OR(B252="",D252="",E252="",F252=""),"Missing details",IF(LEN(B252)&gt;80,"Name too long",IF(COUNTIFS($A$2:$A$1001,A252,$B$2:$B$1001,B252)&gt;1,"Duplicate court name",IF(AND(C252&lt;&gt;"",C252&lt;&gt;"Hard",C252&lt;&gt;"Synthetic",C252&lt;&gt;"Other",C252&lt;&gt;"Not sure"),"Unknown surface",IF(OR(AND(D252&lt;&gt;"Yes",D252&lt;&gt;"No"),AND(E252&lt;&gt;"Yes",E252&lt;&gt;"No"),AND(F252&lt;&gt;"Yes",F252&lt;&gt;"No")),"Use Yes or No","OK")))))))</f>
      </c>
    </row>
    <row r="253">
      <c r="G253" s="4">
        <f>IF(A253="","",IF(COUNTIF(Venues!$A$2:$A$201,A253)=0,"Unknown venue code",IF(OR(B253="",D253="",E253="",F253=""),"Missing details",IF(LEN(B253)&gt;80,"Name too long",IF(COUNTIFS($A$2:$A$1001,A253,$B$2:$B$1001,B253)&gt;1,"Duplicate court name",IF(AND(C253&lt;&gt;"",C253&lt;&gt;"Hard",C253&lt;&gt;"Synthetic",C253&lt;&gt;"Other",C253&lt;&gt;"Not sure"),"Unknown surface",IF(OR(AND(D253&lt;&gt;"Yes",D253&lt;&gt;"No"),AND(E253&lt;&gt;"Yes",E253&lt;&gt;"No"),AND(F253&lt;&gt;"Yes",F253&lt;&gt;"No")),"Use Yes or No","OK")))))))</f>
      </c>
    </row>
    <row r="254">
      <c r="G254" s="4">
        <f>IF(A254="","",IF(COUNTIF(Venues!$A$2:$A$201,A254)=0,"Unknown venue code",IF(OR(B254="",D254="",E254="",F254=""),"Missing details",IF(LEN(B254)&gt;80,"Name too long",IF(COUNTIFS($A$2:$A$1001,A254,$B$2:$B$1001,B254)&gt;1,"Duplicate court name",IF(AND(C254&lt;&gt;"",C254&lt;&gt;"Hard",C254&lt;&gt;"Synthetic",C254&lt;&gt;"Other",C254&lt;&gt;"Not sure"),"Unknown surface",IF(OR(AND(D254&lt;&gt;"Yes",D254&lt;&gt;"No"),AND(E254&lt;&gt;"Yes",E254&lt;&gt;"No"),AND(F254&lt;&gt;"Yes",F254&lt;&gt;"No")),"Use Yes or No","OK")))))))</f>
      </c>
    </row>
    <row r="255">
      <c r="G255" s="4">
        <f>IF(A255="","",IF(COUNTIF(Venues!$A$2:$A$201,A255)=0,"Unknown venue code",IF(OR(B255="",D255="",E255="",F255=""),"Missing details",IF(LEN(B255)&gt;80,"Name too long",IF(COUNTIFS($A$2:$A$1001,A255,$B$2:$B$1001,B255)&gt;1,"Duplicate court name",IF(AND(C255&lt;&gt;"",C255&lt;&gt;"Hard",C255&lt;&gt;"Synthetic",C255&lt;&gt;"Other",C255&lt;&gt;"Not sure"),"Unknown surface",IF(OR(AND(D255&lt;&gt;"Yes",D255&lt;&gt;"No"),AND(E255&lt;&gt;"Yes",E255&lt;&gt;"No"),AND(F255&lt;&gt;"Yes",F255&lt;&gt;"No")),"Use Yes or No","OK")))))))</f>
      </c>
    </row>
    <row r="256">
      <c r="G256" s="4">
        <f>IF(A256="","",IF(COUNTIF(Venues!$A$2:$A$201,A256)=0,"Unknown venue code",IF(OR(B256="",D256="",E256="",F256=""),"Missing details",IF(LEN(B256)&gt;80,"Name too long",IF(COUNTIFS($A$2:$A$1001,A256,$B$2:$B$1001,B256)&gt;1,"Duplicate court name",IF(AND(C256&lt;&gt;"",C256&lt;&gt;"Hard",C256&lt;&gt;"Synthetic",C256&lt;&gt;"Other",C256&lt;&gt;"Not sure"),"Unknown surface",IF(OR(AND(D256&lt;&gt;"Yes",D256&lt;&gt;"No"),AND(E256&lt;&gt;"Yes",E256&lt;&gt;"No"),AND(F256&lt;&gt;"Yes",F256&lt;&gt;"No")),"Use Yes or No","OK")))))))</f>
      </c>
    </row>
    <row r="257">
      <c r="G257" s="4">
        <f>IF(A257="","",IF(COUNTIF(Venues!$A$2:$A$201,A257)=0,"Unknown venue code",IF(OR(B257="",D257="",E257="",F257=""),"Missing details",IF(LEN(B257)&gt;80,"Name too long",IF(COUNTIFS($A$2:$A$1001,A257,$B$2:$B$1001,B257)&gt;1,"Duplicate court name",IF(AND(C257&lt;&gt;"",C257&lt;&gt;"Hard",C257&lt;&gt;"Synthetic",C257&lt;&gt;"Other",C257&lt;&gt;"Not sure"),"Unknown surface",IF(OR(AND(D257&lt;&gt;"Yes",D257&lt;&gt;"No"),AND(E257&lt;&gt;"Yes",E257&lt;&gt;"No"),AND(F257&lt;&gt;"Yes",F257&lt;&gt;"No")),"Use Yes or No","OK")))))))</f>
      </c>
    </row>
    <row r="258">
      <c r="G258" s="4">
        <f>IF(A258="","",IF(COUNTIF(Venues!$A$2:$A$201,A258)=0,"Unknown venue code",IF(OR(B258="",D258="",E258="",F258=""),"Missing details",IF(LEN(B258)&gt;80,"Name too long",IF(COUNTIFS($A$2:$A$1001,A258,$B$2:$B$1001,B258)&gt;1,"Duplicate court name",IF(AND(C258&lt;&gt;"",C258&lt;&gt;"Hard",C258&lt;&gt;"Synthetic",C258&lt;&gt;"Other",C258&lt;&gt;"Not sure"),"Unknown surface",IF(OR(AND(D258&lt;&gt;"Yes",D258&lt;&gt;"No"),AND(E258&lt;&gt;"Yes",E258&lt;&gt;"No"),AND(F258&lt;&gt;"Yes",F258&lt;&gt;"No")),"Use Yes or No","OK")))))))</f>
      </c>
    </row>
    <row r="259">
      <c r="G259" s="4">
        <f>IF(A259="","",IF(COUNTIF(Venues!$A$2:$A$201,A259)=0,"Unknown venue code",IF(OR(B259="",D259="",E259="",F259=""),"Missing details",IF(LEN(B259)&gt;80,"Name too long",IF(COUNTIFS($A$2:$A$1001,A259,$B$2:$B$1001,B259)&gt;1,"Duplicate court name",IF(AND(C259&lt;&gt;"",C259&lt;&gt;"Hard",C259&lt;&gt;"Synthetic",C259&lt;&gt;"Other",C259&lt;&gt;"Not sure"),"Unknown surface",IF(OR(AND(D259&lt;&gt;"Yes",D259&lt;&gt;"No"),AND(E259&lt;&gt;"Yes",E259&lt;&gt;"No"),AND(F259&lt;&gt;"Yes",F259&lt;&gt;"No")),"Use Yes or No","OK")))))))</f>
      </c>
    </row>
    <row r="260">
      <c r="G260" s="4">
        <f>IF(A260="","",IF(COUNTIF(Venues!$A$2:$A$201,A260)=0,"Unknown venue code",IF(OR(B260="",D260="",E260="",F260=""),"Missing details",IF(LEN(B260)&gt;80,"Name too long",IF(COUNTIFS($A$2:$A$1001,A260,$B$2:$B$1001,B260)&gt;1,"Duplicate court name",IF(AND(C260&lt;&gt;"",C260&lt;&gt;"Hard",C260&lt;&gt;"Synthetic",C260&lt;&gt;"Other",C260&lt;&gt;"Not sure"),"Unknown surface",IF(OR(AND(D260&lt;&gt;"Yes",D260&lt;&gt;"No"),AND(E260&lt;&gt;"Yes",E260&lt;&gt;"No"),AND(F260&lt;&gt;"Yes",F260&lt;&gt;"No")),"Use Yes or No","OK")))))))</f>
      </c>
    </row>
    <row r="261">
      <c r="G261" s="4">
        <f>IF(A261="","",IF(COUNTIF(Venues!$A$2:$A$201,A261)=0,"Unknown venue code",IF(OR(B261="",D261="",E261="",F261=""),"Missing details",IF(LEN(B261)&gt;80,"Name too long",IF(COUNTIFS($A$2:$A$1001,A261,$B$2:$B$1001,B261)&gt;1,"Duplicate court name",IF(AND(C261&lt;&gt;"",C261&lt;&gt;"Hard",C261&lt;&gt;"Synthetic",C261&lt;&gt;"Other",C261&lt;&gt;"Not sure"),"Unknown surface",IF(OR(AND(D261&lt;&gt;"Yes",D261&lt;&gt;"No"),AND(E261&lt;&gt;"Yes",E261&lt;&gt;"No"),AND(F261&lt;&gt;"Yes",F261&lt;&gt;"No")),"Use Yes or No","OK")))))))</f>
      </c>
    </row>
    <row r="262">
      <c r="G262" s="4">
        <f>IF(A262="","",IF(COUNTIF(Venues!$A$2:$A$201,A262)=0,"Unknown venue code",IF(OR(B262="",D262="",E262="",F262=""),"Missing details",IF(LEN(B262)&gt;80,"Name too long",IF(COUNTIFS($A$2:$A$1001,A262,$B$2:$B$1001,B262)&gt;1,"Duplicate court name",IF(AND(C262&lt;&gt;"",C262&lt;&gt;"Hard",C262&lt;&gt;"Synthetic",C262&lt;&gt;"Other",C262&lt;&gt;"Not sure"),"Unknown surface",IF(OR(AND(D262&lt;&gt;"Yes",D262&lt;&gt;"No"),AND(E262&lt;&gt;"Yes",E262&lt;&gt;"No"),AND(F262&lt;&gt;"Yes",F262&lt;&gt;"No")),"Use Yes or No","OK")))))))</f>
      </c>
    </row>
    <row r="263">
      <c r="G263" s="4">
        <f>IF(A263="","",IF(COUNTIF(Venues!$A$2:$A$201,A263)=0,"Unknown venue code",IF(OR(B263="",D263="",E263="",F263=""),"Missing details",IF(LEN(B263)&gt;80,"Name too long",IF(COUNTIFS($A$2:$A$1001,A263,$B$2:$B$1001,B263)&gt;1,"Duplicate court name",IF(AND(C263&lt;&gt;"",C263&lt;&gt;"Hard",C263&lt;&gt;"Synthetic",C263&lt;&gt;"Other",C263&lt;&gt;"Not sure"),"Unknown surface",IF(OR(AND(D263&lt;&gt;"Yes",D263&lt;&gt;"No"),AND(E263&lt;&gt;"Yes",E263&lt;&gt;"No"),AND(F263&lt;&gt;"Yes",F263&lt;&gt;"No")),"Use Yes or No","OK")))))))</f>
      </c>
    </row>
    <row r="264">
      <c r="G264" s="4">
        <f>IF(A264="","",IF(COUNTIF(Venues!$A$2:$A$201,A264)=0,"Unknown venue code",IF(OR(B264="",D264="",E264="",F264=""),"Missing details",IF(LEN(B264)&gt;80,"Name too long",IF(COUNTIFS($A$2:$A$1001,A264,$B$2:$B$1001,B264)&gt;1,"Duplicate court name",IF(AND(C264&lt;&gt;"",C264&lt;&gt;"Hard",C264&lt;&gt;"Synthetic",C264&lt;&gt;"Other",C264&lt;&gt;"Not sure"),"Unknown surface",IF(OR(AND(D264&lt;&gt;"Yes",D264&lt;&gt;"No"),AND(E264&lt;&gt;"Yes",E264&lt;&gt;"No"),AND(F264&lt;&gt;"Yes",F264&lt;&gt;"No")),"Use Yes or No","OK")))))))</f>
      </c>
    </row>
    <row r="265">
      <c r="G265" s="4">
        <f>IF(A265="","",IF(COUNTIF(Venues!$A$2:$A$201,A265)=0,"Unknown venue code",IF(OR(B265="",D265="",E265="",F265=""),"Missing details",IF(LEN(B265)&gt;80,"Name too long",IF(COUNTIFS($A$2:$A$1001,A265,$B$2:$B$1001,B265)&gt;1,"Duplicate court name",IF(AND(C265&lt;&gt;"",C265&lt;&gt;"Hard",C265&lt;&gt;"Synthetic",C265&lt;&gt;"Other",C265&lt;&gt;"Not sure"),"Unknown surface",IF(OR(AND(D265&lt;&gt;"Yes",D265&lt;&gt;"No"),AND(E265&lt;&gt;"Yes",E265&lt;&gt;"No"),AND(F265&lt;&gt;"Yes",F265&lt;&gt;"No")),"Use Yes or No","OK")))))))</f>
      </c>
    </row>
    <row r="266">
      <c r="G266" s="4">
        <f>IF(A266="","",IF(COUNTIF(Venues!$A$2:$A$201,A266)=0,"Unknown venue code",IF(OR(B266="",D266="",E266="",F266=""),"Missing details",IF(LEN(B266)&gt;80,"Name too long",IF(COUNTIFS($A$2:$A$1001,A266,$B$2:$B$1001,B266)&gt;1,"Duplicate court name",IF(AND(C266&lt;&gt;"",C266&lt;&gt;"Hard",C266&lt;&gt;"Synthetic",C266&lt;&gt;"Other",C266&lt;&gt;"Not sure"),"Unknown surface",IF(OR(AND(D266&lt;&gt;"Yes",D266&lt;&gt;"No"),AND(E266&lt;&gt;"Yes",E266&lt;&gt;"No"),AND(F266&lt;&gt;"Yes",F266&lt;&gt;"No")),"Use Yes or No","OK")))))))</f>
      </c>
    </row>
    <row r="267">
      <c r="G267" s="4">
        <f>IF(A267="","",IF(COUNTIF(Venues!$A$2:$A$201,A267)=0,"Unknown venue code",IF(OR(B267="",D267="",E267="",F267=""),"Missing details",IF(LEN(B267)&gt;80,"Name too long",IF(COUNTIFS($A$2:$A$1001,A267,$B$2:$B$1001,B267)&gt;1,"Duplicate court name",IF(AND(C267&lt;&gt;"",C267&lt;&gt;"Hard",C267&lt;&gt;"Synthetic",C267&lt;&gt;"Other",C267&lt;&gt;"Not sure"),"Unknown surface",IF(OR(AND(D267&lt;&gt;"Yes",D267&lt;&gt;"No"),AND(E267&lt;&gt;"Yes",E267&lt;&gt;"No"),AND(F267&lt;&gt;"Yes",F267&lt;&gt;"No")),"Use Yes or No","OK")))))))</f>
      </c>
    </row>
    <row r="268">
      <c r="G268" s="4">
        <f>IF(A268="","",IF(COUNTIF(Venues!$A$2:$A$201,A268)=0,"Unknown venue code",IF(OR(B268="",D268="",E268="",F268=""),"Missing details",IF(LEN(B268)&gt;80,"Name too long",IF(COUNTIFS($A$2:$A$1001,A268,$B$2:$B$1001,B268)&gt;1,"Duplicate court name",IF(AND(C268&lt;&gt;"",C268&lt;&gt;"Hard",C268&lt;&gt;"Synthetic",C268&lt;&gt;"Other",C268&lt;&gt;"Not sure"),"Unknown surface",IF(OR(AND(D268&lt;&gt;"Yes",D268&lt;&gt;"No"),AND(E268&lt;&gt;"Yes",E268&lt;&gt;"No"),AND(F268&lt;&gt;"Yes",F268&lt;&gt;"No")),"Use Yes or No","OK")))))))</f>
      </c>
    </row>
    <row r="269">
      <c r="G269" s="4">
        <f>IF(A269="","",IF(COUNTIF(Venues!$A$2:$A$201,A269)=0,"Unknown venue code",IF(OR(B269="",D269="",E269="",F269=""),"Missing details",IF(LEN(B269)&gt;80,"Name too long",IF(COUNTIFS($A$2:$A$1001,A269,$B$2:$B$1001,B269)&gt;1,"Duplicate court name",IF(AND(C269&lt;&gt;"",C269&lt;&gt;"Hard",C269&lt;&gt;"Synthetic",C269&lt;&gt;"Other",C269&lt;&gt;"Not sure"),"Unknown surface",IF(OR(AND(D269&lt;&gt;"Yes",D269&lt;&gt;"No"),AND(E269&lt;&gt;"Yes",E269&lt;&gt;"No"),AND(F269&lt;&gt;"Yes",F269&lt;&gt;"No")),"Use Yes or No","OK")))))))</f>
      </c>
    </row>
    <row r="270">
      <c r="G270" s="4">
        <f>IF(A270="","",IF(COUNTIF(Venues!$A$2:$A$201,A270)=0,"Unknown venue code",IF(OR(B270="",D270="",E270="",F270=""),"Missing details",IF(LEN(B270)&gt;80,"Name too long",IF(COUNTIFS($A$2:$A$1001,A270,$B$2:$B$1001,B270)&gt;1,"Duplicate court name",IF(AND(C270&lt;&gt;"",C270&lt;&gt;"Hard",C270&lt;&gt;"Synthetic",C270&lt;&gt;"Other",C270&lt;&gt;"Not sure"),"Unknown surface",IF(OR(AND(D270&lt;&gt;"Yes",D270&lt;&gt;"No"),AND(E270&lt;&gt;"Yes",E270&lt;&gt;"No"),AND(F270&lt;&gt;"Yes",F270&lt;&gt;"No")),"Use Yes or No","OK")))))))</f>
      </c>
    </row>
    <row r="271">
      <c r="G271" s="4">
        <f>IF(A271="","",IF(COUNTIF(Venues!$A$2:$A$201,A271)=0,"Unknown venue code",IF(OR(B271="",D271="",E271="",F271=""),"Missing details",IF(LEN(B271)&gt;80,"Name too long",IF(COUNTIFS($A$2:$A$1001,A271,$B$2:$B$1001,B271)&gt;1,"Duplicate court name",IF(AND(C271&lt;&gt;"",C271&lt;&gt;"Hard",C271&lt;&gt;"Synthetic",C271&lt;&gt;"Other",C271&lt;&gt;"Not sure"),"Unknown surface",IF(OR(AND(D271&lt;&gt;"Yes",D271&lt;&gt;"No"),AND(E271&lt;&gt;"Yes",E271&lt;&gt;"No"),AND(F271&lt;&gt;"Yes",F271&lt;&gt;"No")),"Use Yes or No","OK")))))))</f>
      </c>
    </row>
    <row r="272">
      <c r="G272" s="4">
        <f>IF(A272="","",IF(COUNTIF(Venues!$A$2:$A$201,A272)=0,"Unknown venue code",IF(OR(B272="",D272="",E272="",F272=""),"Missing details",IF(LEN(B272)&gt;80,"Name too long",IF(COUNTIFS($A$2:$A$1001,A272,$B$2:$B$1001,B272)&gt;1,"Duplicate court name",IF(AND(C272&lt;&gt;"",C272&lt;&gt;"Hard",C272&lt;&gt;"Synthetic",C272&lt;&gt;"Other",C272&lt;&gt;"Not sure"),"Unknown surface",IF(OR(AND(D272&lt;&gt;"Yes",D272&lt;&gt;"No"),AND(E272&lt;&gt;"Yes",E272&lt;&gt;"No"),AND(F272&lt;&gt;"Yes",F272&lt;&gt;"No")),"Use Yes or No","OK")))))))</f>
      </c>
    </row>
    <row r="273">
      <c r="G273" s="4">
        <f>IF(A273="","",IF(COUNTIF(Venues!$A$2:$A$201,A273)=0,"Unknown venue code",IF(OR(B273="",D273="",E273="",F273=""),"Missing details",IF(LEN(B273)&gt;80,"Name too long",IF(COUNTIFS($A$2:$A$1001,A273,$B$2:$B$1001,B273)&gt;1,"Duplicate court name",IF(AND(C273&lt;&gt;"",C273&lt;&gt;"Hard",C273&lt;&gt;"Synthetic",C273&lt;&gt;"Other",C273&lt;&gt;"Not sure"),"Unknown surface",IF(OR(AND(D273&lt;&gt;"Yes",D273&lt;&gt;"No"),AND(E273&lt;&gt;"Yes",E273&lt;&gt;"No"),AND(F273&lt;&gt;"Yes",F273&lt;&gt;"No")),"Use Yes or No","OK")))))))</f>
      </c>
    </row>
    <row r="274">
      <c r="G274" s="4">
        <f>IF(A274="","",IF(COUNTIF(Venues!$A$2:$A$201,A274)=0,"Unknown venue code",IF(OR(B274="",D274="",E274="",F274=""),"Missing details",IF(LEN(B274)&gt;80,"Name too long",IF(COUNTIFS($A$2:$A$1001,A274,$B$2:$B$1001,B274)&gt;1,"Duplicate court name",IF(AND(C274&lt;&gt;"",C274&lt;&gt;"Hard",C274&lt;&gt;"Synthetic",C274&lt;&gt;"Other",C274&lt;&gt;"Not sure"),"Unknown surface",IF(OR(AND(D274&lt;&gt;"Yes",D274&lt;&gt;"No"),AND(E274&lt;&gt;"Yes",E274&lt;&gt;"No"),AND(F274&lt;&gt;"Yes",F274&lt;&gt;"No")),"Use Yes or No","OK")))))))</f>
      </c>
    </row>
    <row r="275">
      <c r="G275" s="4">
        <f>IF(A275="","",IF(COUNTIF(Venues!$A$2:$A$201,A275)=0,"Unknown venue code",IF(OR(B275="",D275="",E275="",F275=""),"Missing details",IF(LEN(B275)&gt;80,"Name too long",IF(COUNTIFS($A$2:$A$1001,A275,$B$2:$B$1001,B275)&gt;1,"Duplicate court name",IF(AND(C275&lt;&gt;"",C275&lt;&gt;"Hard",C275&lt;&gt;"Synthetic",C275&lt;&gt;"Other",C275&lt;&gt;"Not sure"),"Unknown surface",IF(OR(AND(D275&lt;&gt;"Yes",D275&lt;&gt;"No"),AND(E275&lt;&gt;"Yes",E275&lt;&gt;"No"),AND(F275&lt;&gt;"Yes",F275&lt;&gt;"No")),"Use Yes or No","OK")))))))</f>
      </c>
    </row>
    <row r="276">
      <c r="G276" s="4">
        <f>IF(A276="","",IF(COUNTIF(Venues!$A$2:$A$201,A276)=0,"Unknown venue code",IF(OR(B276="",D276="",E276="",F276=""),"Missing details",IF(LEN(B276)&gt;80,"Name too long",IF(COUNTIFS($A$2:$A$1001,A276,$B$2:$B$1001,B276)&gt;1,"Duplicate court name",IF(AND(C276&lt;&gt;"",C276&lt;&gt;"Hard",C276&lt;&gt;"Synthetic",C276&lt;&gt;"Other",C276&lt;&gt;"Not sure"),"Unknown surface",IF(OR(AND(D276&lt;&gt;"Yes",D276&lt;&gt;"No"),AND(E276&lt;&gt;"Yes",E276&lt;&gt;"No"),AND(F276&lt;&gt;"Yes",F276&lt;&gt;"No")),"Use Yes or No","OK")))))))</f>
      </c>
    </row>
    <row r="277">
      <c r="G277" s="4">
        <f>IF(A277="","",IF(COUNTIF(Venues!$A$2:$A$201,A277)=0,"Unknown venue code",IF(OR(B277="",D277="",E277="",F277=""),"Missing details",IF(LEN(B277)&gt;80,"Name too long",IF(COUNTIFS($A$2:$A$1001,A277,$B$2:$B$1001,B277)&gt;1,"Duplicate court name",IF(AND(C277&lt;&gt;"",C277&lt;&gt;"Hard",C277&lt;&gt;"Synthetic",C277&lt;&gt;"Other",C277&lt;&gt;"Not sure"),"Unknown surface",IF(OR(AND(D277&lt;&gt;"Yes",D277&lt;&gt;"No"),AND(E277&lt;&gt;"Yes",E277&lt;&gt;"No"),AND(F277&lt;&gt;"Yes",F277&lt;&gt;"No")),"Use Yes or No","OK")))))))</f>
      </c>
    </row>
    <row r="278">
      <c r="G278" s="4">
        <f>IF(A278="","",IF(COUNTIF(Venues!$A$2:$A$201,A278)=0,"Unknown venue code",IF(OR(B278="",D278="",E278="",F278=""),"Missing details",IF(LEN(B278)&gt;80,"Name too long",IF(COUNTIFS($A$2:$A$1001,A278,$B$2:$B$1001,B278)&gt;1,"Duplicate court name",IF(AND(C278&lt;&gt;"",C278&lt;&gt;"Hard",C278&lt;&gt;"Synthetic",C278&lt;&gt;"Other",C278&lt;&gt;"Not sure"),"Unknown surface",IF(OR(AND(D278&lt;&gt;"Yes",D278&lt;&gt;"No"),AND(E278&lt;&gt;"Yes",E278&lt;&gt;"No"),AND(F278&lt;&gt;"Yes",F278&lt;&gt;"No")),"Use Yes or No","OK")))))))</f>
      </c>
    </row>
    <row r="279">
      <c r="G279" s="4">
        <f>IF(A279="","",IF(COUNTIF(Venues!$A$2:$A$201,A279)=0,"Unknown venue code",IF(OR(B279="",D279="",E279="",F279=""),"Missing details",IF(LEN(B279)&gt;80,"Name too long",IF(COUNTIFS($A$2:$A$1001,A279,$B$2:$B$1001,B279)&gt;1,"Duplicate court name",IF(AND(C279&lt;&gt;"",C279&lt;&gt;"Hard",C279&lt;&gt;"Synthetic",C279&lt;&gt;"Other",C279&lt;&gt;"Not sure"),"Unknown surface",IF(OR(AND(D279&lt;&gt;"Yes",D279&lt;&gt;"No"),AND(E279&lt;&gt;"Yes",E279&lt;&gt;"No"),AND(F279&lt;&gt;"Yes",F279&lt;&gt;"No")),"Use Yes or No","OK")))))))</f>
      </c>
    </row>
    <row r="280">
      <c r="G280" s="4">
        <f>IF(A280="","",IF(COUNTIF(Venues!$A$2:$A$201,A280)=0,"Unknown venue code",IF(OR(B280="",D280="",E280="",F280=""),"Missing details",IF(LEN(B280)&gt;80,"Name too long",IF(COUNTIFS($A$2:$A$1001,A280,$B$2:$B$1001,B280)&gt;1,"Duplicate court name",IF(AND(C280&lt;&gt;"",C280&lt;&gt;"Hard",C280&lt;&gt;"Synthetic",C280&lt;&gt;"Other",C280&lt;&gt;"Not sure"),"Unknown surface",IF(OR(AND(D280&lt;&gt;"Yes",D280&lt;&gt;"No"),AND(E280&lt;&gt;"Yes",E280&lt;&gt;"No"),AND(F280&lt;&gt;"Yes",F280&lt;&gt;"No")),"Use Yes or No","OK")))))))</f>
      </c>
    </row>
    <row r="281">
      <c r="G281" s="4">
        <f>IF(A281="","",IF(COUNTIF(Venues!$A$2:$A$201,A281)=0,"Unknown venue code",IF(OR(B281="",D281="",E281="",F281=""),"Missing details",IF(LEN(B281)&gt;80,"Name too long",IF(COUNTIFS($A$2:$A$1001,A281,$B$2:$B$1001,B281)&gt;1,"Duplicate court name",IF(AND(C281&lt;&gt;"",C281&lt;&gt;"Hard",C281&lt;&gt;"Synthetic",C281&lt;&gt;"Other",C281&lt;&gt;"Not sure"),"Unknown surface",IF(OR(AND(D281&lt;&gt;"Yes",D281&lt;&gt;"No"),AND(E281&lt;&gt;"Yes",E281&lt;&gt;"No"),AND(F281&lt;&gt;"Yes",F281&lt;&gt;"No")),"Use Yes or No","OK")))))))</f>
      </c>
    </row>
    <row r="282">
      <c r="G282" s="4">
        <f>IF(A282="","",IF(COUNTIF(Venues!$A$2:$A$201,A282)=0,"Unknown venue code",IF(OR(B282="",D282="",E282="",F282=""),"Missing details",IF(LEN(B282)&gt;80,"Name too long",IF(COUNTIFS($A$2:$A$1001,A282,$B$2:$B$1001,B282)&gt;1,"Duplicate court name",IF(AND(C282&lt;&gt;"",C282&lt;&gt;"Hard",C282&lt;&gt;"Synthetic",C282&lt;&gt;"Other",C282&lt;&gt;"Not sure"),"Unknown surface",IF(OR(AND(D282&lt;&gt;"Yes",D282&lt;&gt;"No"),AND(E282&lt;&gt;"Yes",E282&lt;&gt;"No"),AND(F282&lt;&gt;"Yes",F282&lt;&gt;"No")),"Use Yes or No","OK")))))))</f>
      </c>
    </row>
    <row r="283">
      <c r="G283" s="4">
        <f>IF(A283="","",IF(COUNTIF(Venues!$A$2:$A$201,A283)=0,"Unknown venue code",IF(OR(B283="",D283="",E283="",F283=""),"Missing details",IF(LEN(B283)&gt;80,"Name too long",IF(COUNTIFS($A$2:$A$1001,A283,$B$2:$B$1001,B283)&gt;1,"Duplicate court name",IF(AND(C283&lt;&gt;"",C283&lt;&gt;"Hard",C283&lt;&gt;"Synthetic",C283&lt;&gt;"Other",C283&lt;&gt;"Not sure"),"Unknown surface",IF(OR(AND(D283&lt;&gt;"Yes",D283&lt;&gt;"No"),AND(E283&lt;&gt;"Yes",E283&lt;&gt;"No"),AND(F283&lt;&gt;"Yes",F283&lt;&gt;"No")),"Use Yes or No","OK")))))))</f>
      </c>
    </row>
    <row r="284">
      <c r="G284" s="4">
        <f>IF(A284="","",IF(COUNTIF(Venues!$A$2:$A$201,A284)=0,"Unknown venue code",IF(OR(B284="",D284="",E284="",F284=""),"Missing details",IF(LEN(B284)&gt;80,"Name too long",IF(COUNTIFS($A$2:$A$1001,A284,$B$2:$B$1001,B284)&gt;1,"Duplicate court name",IF(AND(C284&lt;&gt;"",C284&lt;&gt;"Hard",C284&lt;&gt;"Synthetic",C284&lt;&gt;"Other",C284&lt;&gt;"Not sure"),"Unknown surface",IF(OR(AND(D284&lt;&gt;"Yes",D284&lt;&gt;"No"),AND(E284&lt;&gt;"Yes",E284&lt;&gt;"No"),AND(F284&lt;&gt;"Yes",F284&lt;&gt;"No")),"Use Yes or No","OK")))))))</f>
      </c>
    </row>
    <row r="285">
      <c r="G285" s="4">
        <f>IF(A285="","",IF(COUNTIF(Venues!$A$2:$A$201,A285)=0,"Unknown venue code",IF(OR(B285="",D285="",E285="",F285=""),"Missing details",IF(LEN(B285)&gt;80,"Name too long",IF(COUNTIFS($A$2:$A$1001,A285,$B$2:$B$1001,B285)&gt;1,"Duplicate court name",IF(AND(C285&lt;&gt;"",C285&lt;&gt;"Hard",C285&lt;&gt;"Synthetic",C285&lt;&gt;"Other",C285&lt;&gt;"Not sure"),"Unknown surface",IF(OR(AND(D285&lt;&gt;"Yes",D285&lt;&gt;"No"),AND(E285&lt;&gt;"Yes",E285&lt;&gt;"No"),AND(F285&lt;&gt;"Yes",F285&lt;&gt;"No")),"Use Yes or No","OK")))))))</f>
      </c>
    </row>
    <row r="286">
      <c r="G286" s="4">
        <f>IF(A286="","",IF(COUNTIF(Venues!$A$2:$A$201,A286)=0,"Unknown venue code",IF(OR(B286="",D286="",E286="",F286=""),"Missing details",IF(LEN(B286)&gt;80,"Name too long",IF(COUNTIFS($A$2:$A$1001,A286,$B$2:$B$1001,B286)&gt;1,"Duplicate court name",IF(AND(C286&lt;&gt;"",C286&lt;&gt;"Hard",C286&lt;&gt;"Synthetic",C286&lt;&gt;"Other",C286&lt;&gt;"Not sure"),"Unknown surface",IF(OR(AND(D286&lt;&gt;"Yes",D286&lt;&gt;"No"),AND(E286&lt;&gt;"Yes",E286&lt;&gt;"No"),AND(F286&lt;&gt;"Yes",F286&lt;&gt;"No")),"Use Yes or No","OK")))))))</f>
      </c>
    </row>
    <row r="287">
      <c r="G287" s="4">
        <f>IF(A287="","",IF(COUNTIF(Venues!$A$2:$A$201,A287)=0,"Unknown venue code",IF(OR(B287="",D287="",E287="",F287=""),"Missing details",IF(LEN(B287)&gt;80,"Name too long",IF(COUNTIFS($A$2:$A$1001,A287,$B$2:$B$1001,B287)&gt;1,"Duplicate court name",IF(AND(C287&lt;&gt;"",C287&lt;&gt;"Hard",C287&lt;&gt;"Synthetic",C287&lt;&gt;"Other",C287&lt;&gt;"Not sure"),"Unknown surface",IF(OR(AND(D287&lt;&gt;"Yes",D287&lt;&gt;"No"),AND(E287&lt;&gt;"Yes",E287&lt;&gt;"No"),AND(F287&lt;&gt;"Yes",F287&lt;&gt;"No")),"Use Yes or No","OK")))))))</f>
      </c>
    </row>
    <row r="288">
      <c r="G288" s="4">
        <f>IF(A288="","",IF(COUNTIF(Venues!$A$2:$A$201,A288)=0,"Unknown venue code",IF(OR(B288="",D288="",E288="",F288=""),"Missing details",IF(LEN(B288)&gt;80,"Name too long",IF(COUNTIFS($A$2:$A$1001,A288,$B$2:$B$1001,B288)&gt;1,"Duplicate court name",IF(AND(C288&lt;&gt;"",C288&lt;&gt;"Hard",C288&lt;&gt;"Synthetic",C288&lt;&gt;"Other",C288&lt;&gt;"Not sure"),"Unknown surface",IF(OR(AND(D288&lt;&gt;"Yes",D288&lt;&gt;"No"),AND(E288&lt;&gt;"Yes",E288&lt;&gt;"No"),AND(F288&lt;&gt;"Yes",F288&lt;&gt;"No")),"Use Yes or No","OK")))))))</f>
      </c>
    </row>
    <row r="289">
      <c r="G289" s="4">
        <f>IF(A289="","",IF(COUNTIF(Venues!$A$2:$A$201,A289)=0,"Unknown venue code",IF(OR(B289="",D289="",E289="",F289=""),"Missing details",IF(LEN(B289)&gt;80,"Name too long",IF(COUNTIFS($A$2:$A$1001,A289,$B$2:$B$1001,B289)&gt;1,"Duplicate court name",IF(AND(C289&lt;&gt;"",C289&lt;&gt;"Hard",C289&lt;&gt;"Synthetic",C289&lt;&gt;"Other",C289&lt;&gt;"Not sure"),"Unknown surface",IF(OR(AND(D289&lt;&gt;"Yes",D289&lt;&gt;"No"),AND(E289&lt;&gt;"Yes",E289&lt;&gt;"No"),AND(F289&lt;&gt;"Yes",F289&lt;&gt;"No")),"Use Yes or No","OK")))))))</f>
      </c>
    </row>
    <row r="290">
      <c r="G290" s="4">
        <f>IF(A290="","",IF(COUNTIF(Venues!$A$2:$A$201,A290)=0,"Unknown venue code",IF(OR(B290="",D290="",E290="",F290=""),"Missing details",IF(LEN(B290)&gt;80,"Name too long",IF(COUNTIFS($A$2:$A$1001,A290,$B$2:$B$1001,B290)&gt;1,"Duplicate court name",IF(AND(C290&lt;&gt;"",C290&lt;&gt;"Hard",C290&lt;&gt;"Synthetic",C290&lt;&gt;"Other",C290&lt;&gt;"Not sure"),"Unknown surface",IF(OR(AND(D290&lt;&gt;"Yes",D290&lt;&gt;"No"),AND(E290&lt;&gt;"Yes",E290&lt;&gt;"No"),AND(F290&lt;&gt;"Yes",F290&lt;&gt;"No")),"Use Yes or No","OK")))))))</f>
      </c>
    </row>
    <row r="291">
      <c r="G291" s="4">
        <f>IF(A291="","",IF(COUNTIF(Venues!$A$2:$A$201,A291)=0,"Unknown venue code",IF(OR(B291="",D291="",E291="",F291=""),"Missing details",IF(LEN(B291)&gt;80,"Name too long",IF(COUNTIFS($A$2:$A$1001,A291,$B$2:$B$1001,B291)&gt;1,"Duplicate court name",IF(AND(C291&lt;&gt;"",C291&lt;&gt;"Hard",C291&lt;&gt;"Synthetic",C291&lt;&gt;"Other",C291&lt;&gt;"Not sure"),"Unknown surface",IF(OR(AND(D291&lt;&gt;"Yes",D291&lt;&gt;"No"),AND(E291&lt;&gt;"Yes",E291&lt;&gt;"No"),AND(F291&lt;&gt;"Yes",F291&lt;&gt;"No")),"Use Yes or No","OK")))))))</f>
      </c>
    </row>
    <row r="292">
      <c r="G292" s="4">
        <f>IF(A292="","",IF(COUNTIF(Venues!$A$2:$A$201,A292)=0,"Unknown venue code",IF(OR(B292="",D292="",E292="",F292=""),"Missing details",IF(LEN(B292)&gt;80,"Name too long",IF(COUNTIFS($A$2:$A$1001,A292,$B$2:$B$1001,B292)&gt;1,"Duplicate court name",IF(AND(C292&lt;&gt;"",C292&lt;&gt;"Hard",C292&lt;&gt;"Synthetic",C292&lt;&gt;"Other",C292&lt;&gt;"Not sure"),"Unknown surface",IF(OR(AND(D292&lt;&gt;"Yes",D292&lt;&gt;"No"),AND(E292&lt;&gt;"Yes",E292&lt;&gt;"No"),AND(F292&lt;&gt;"Yes",F292&lt;&gt;"No")),"Use Yes or No","OK")))))))</f>
      </c>
    </row>
    <row r="293">
      <c r="G293" s="4">
        <f>IF(A293="","",IF(COUNTIF(Venues!$A$2:$A$201,A293)=0,"Unknown venue code",IF(OR(B293="",D293="",E293="",F293=""),"Missing details",IF(LEN(B293)&gt;80,"Name too long",IF(COUNTIFS($A$2:$A$1001,A293,$B$2:$B$1001,B293)&gt;1,"Duplicate court name",IF(AND(C293&lt;&gt;"",C293&lt;&gt;"Hard",C293&lt;&gt;"Synthetic",C293&lt;&gt;"Other",C293&lt;&gt;"Not sure"),"Unknown surface",IF(OR(AND(D293&lt;&gt;"Yes",D293&lt;&gt;"No"),AND(E293&lt;&gt;"Yes",E293&lt;&gt;"No"),AND(F293&lt;&gt;"Yes",F293&lt;&gt;"No")),"Use Yes or No","OK")))))))</f>
      </c>
    </row>
    <row r="294">
      <c r="G294" s="4">
        <f>IF(A294="","",IF(COUNTIF(Venues!$A$2:$A$201,A294)=0,"Unknown venue code",IF(OR(B294="",D294="",E294="",F294=""),"Missing details",IF(LEN(B294)&gt;80,"Name too long",IF(COUNTIFS($A$2:$A$1001,A294,$B$2:$B$1001,B294)&gt;1,"Duplicate court name",IF(AND(C294&lt;&gt;"",C294&lt;&gt;"Hard",C294&lt;&gt;"Synthetic",C294&lt;&gt;"Other",C294&lt;&gt;"Not sure"),"Unknown surface",IF(OR(AND(D294&lt;&gt;"Yes",D294&lt;&gt;"No"),AND(E294&lt;&gt;"Yes",E294&lt;&gt;"No"),AND(F294&lt;&gt;"Yes",F294&lt;&gt;"No")),"Use Yes or No","OK")))))))</f>
      </c>
    </row>
    <row r="295">
      <c r="G295" s="4">
        <f>IF(A295="","",IF(COUNTIF(Venues!$A$2:$A$201,A295)=0,"Unknown venue code",IF(OR(B295="",D295="",E295="",F295=""),"Missing details",IF(LEN(B295)&gt;80,"Name too long",IF(COUNTIFS($A$2:$A$1001,A295,$B$2:$B$1001,B295)&gt;1,"Duplicate court name",IF(AND(C295&lt;&gt;"",C295&lt;&gt;"Hard",C295&lt;&gt;"Synthetic",C295&lt;&gt;"Other",C295&lt;&gt;"Not sure"),"Unknown surface",IF(OR(AND(D295&lt;&gt;"Yes",D295&lt;&gt;"No"),AND(E295&lt;&gt;"Yes",E295&lt;&gt;"No"),AND(F295&lt;&gt;"Yes",F295&lt;&gt;"No")),"Use Yes or No","OK")))))))</f>
      </c>
    </row>
    <row r="296">
      <c r="G296" s="4">
        <f>IF(A296="","",IF(COUNTIF(Venues!$A$2:$A$201,A296)=0,"Unknown venue code",IF(OR(B296="",D296="",E296="",F296=""),"Missing details",IF(LEN(B296)&gt;80,"Name too long",IF(COUNTIFS($A$2:$A$1001,A296,$B$2:$B$1001,B296)&gt;1,"Duplicate court name",IF(AND(C296&lt;&gt;"",C296&lt;&gt;"Hard",C296&lt;&gt;"Synthetic",C296&lt;&gt;"Other",C296&lt;&gt;"Not sure"),"Unknown surface",IF(OR(AND(D296&lt;&gt;"Yes",D296&lt;&gt;"No"),AND(E296&lt;&gt;"Yes",E296&lt;&gt;"No"),AND(F296&lt;&gt;"Yes",F296&lt;&gt;"No")),"Use Yes or No","OK")))))))</f>
      </c>
    </row>
    <row r="297">
      <c r="G297" s="4">
        <f>IF(A297="","",IF(COUNTIF(Venues!$A$2:$A$201,A297)=0,"Unknown venue code",IF(OR(B297="",D297="",E297="",F297=""),"Missing details",IF(LEN(B297)&gt;80,"Name too long",IF(COUNTIFS($A$2:$A$1001,A297,$B$2:$B$1001,B297)&gt;1,"Duplicate court name",IF(AND(C297&lt;&gt;"",C297&lt;&gt;"Hard",C297&lt;&gt;"Synthetic",C297&lt;&gt;"Other",C297&lt;&gt;"Not sure"),"Unknown surface",IF(OR(AND(D297&lt;&gt;"Yes",D297&lt;&gt;"No"),AND(E297&lt;&gt;"Yes",E297&lt;&gt;"No"),AND(F297&lt;&gt;"Yes",F297&lt;&gt;"No")),"Use Yes or No","OK")))))))</f>
      </c>
    </row>
    <row r="298">
      <c r="G298" s="4">
        <f>IF(A298="","",IF(COUNTIF(Venues!$A$2:$A$201,A298)=0,"Unknown venue code",IF(OR(B298="",D298="",E298="",F298=""),"Missing details",IF(LEN(B298)&gt;80,"Name too long",IF(COUNTIFS($A$2:$A$1001,A298,$B$2:$B$1001,B298)&gt;1,"Duplicate court name",IF(AND(C298&lt;&gt;"",C298&lt;&gt;"Hard",C298&lt;&gt;"Synthetic",C298&lt;&gt;"Other",C298&lt;&gt;"Not sure"),"Unknown surface",IF(OR(AND(D298&lt;&gt;"Yes",D298&lt;&gt;"No"),AND(E298&lt;&gt;"Yes",E298&lt;&gt;"No"),AND(F298&lt;&gt;"Yes",F298&lt;&gt;"No")),"Use Yes or No","OK")))))))</f>
      </c>
    </row>
    <row r="299">
      <c r="G299" s="4">
        <f>IF(A299="","",IF(COUNTIF(Venues!$A$2:$A$201,A299)=0,"Unknown venue code",IF(OR(B299="",D299="",E299="",F299=""),"Missing details",IF(LEN(B299)&gt;80,"Name too long",IF(COUNTIFS($A$2:$A$1001,A299,$B$2:$B$1001,B299)&gt;1,"Duplicate court name",IF(AND(C299&lt;&gt;"",C299&lt;&gt;"Hard",C299&lt;&gt;"Synthetic",C299&lt;&gt;"Other",C299&lt;&gt;"Not sure"),"Unknown surface",IF(OR(AND(D299&lt;&gt;"Yes",D299&lt;&gt;"No"),AND(E299&lt;&gt;"Yes",E299&lt;&gt;"No"),AND(F299&lt;&gt;"Yes",F299&lt;&gt;"No")),"Use Yes or No","OK")))))))</f>
      </c>
    </row>
    <row r="300">
      <c r="G300" s="4">
        <f>IF(A300="","",IF(COUNTIF(Venues!$A$2:$A$201,A300)=0,"Unknown venue code",IF(OR(B300="",D300="",E300="",F300=""),"Missing details",IF(LEN(B300)&gt;80,"Name too long",IF(COUNTIFS($A$2:$A$1001,A300,$B$2:$B$1001,B300)&gt;1,"Duplicate court name",IF(AND(C300&lt;&gt;"",C300&lt;&gt;"Hard",C300&lt;&gt;"Synthetic",C300&lt;&gt;"Other",C300&lt;&gt;"Not sure"),"Unknown surface",IF(OR(AND(D300&lt;&gt;"Yes",D300&lt;&gt;"No"),AND(E300&lt;&gt;"Yes",E300&lt;&gt;"No"),AND(F300&lt;&gt;"Yes",F300&lt;&gt;"No")),"Use Yes or No","OK")))))))</f>
      </c>
    </row>
    <row r="301">
      <c r="G301" s="4">
        <f>IF(A301="","",IF(COUNTIF(Venues!$A$2:$A$201,A301)=0,"Unknown venue code",IF(OR(B301="",D301="",E301="",F301=""),"Missing details",IF(LEN(B301)&gt;80,"Name too long",IF(COUNTIFS($A$2:$A$1001,A301,$B$2:$B$1001,B301)&gt;1,"Duplicate court name",IF(AND(C301&lt;&gt;"",C301&lt;&gt;"Hard",C301&lt;&gt;"Synthetic",C301&lt;&gt;"Other",C301&lt;&gt;"Not sure"),"Unknown surface",IF(OR(AND(D301&lt;&gt;"Yes",D301&lt;&gt;"No"),AND(E301&lt;&gt;"Yes",E301&lt;&gt;"No"),AND(F301&lt;&gt;"Yes",F301&lt;&gt;"No")),"Use Yes or No","OK")))))))</f>
      </c>
    </row>
    <row r="302">
      <c r="G302" s="4">
        <f>IF(A302="","",IF(COUNTIF(Venues!$A$2:$A$201,A302)=0,"Unknown venue code",IF(OR(B302="",D302="",E302="",F302=""),"Missing details",IF(LEN(B302)&gt;80,"Name too long",IF(COUNTIFS($A$2:$A$1001,A302,$B$2:$B$1001,B302)&gt;1,"Duplicate court name",IF(AND(C302&lt;&gt;"",C302&lt;&gt;"Hard",C302&lt;&gt;"Synthetic",C302&lt;&gt;"Other",C302&lt;&gt;"Not sure"),"Unknown surface",IF(OR(AND(D302&lt;&gt;"Yes",D302&lt;&gt;"No"),AND(E302&lt;&gt;"Yes",E302&lt;&gt;"No"),AND(F302&lt;&gt;"Yes",F302&lt;&gt;"No")),"Use Yes or No","OK")))))))</f>
      </c>
    </row>
    <row r="303">
      <c r="G303" s="4">
        <f>IF(A303="","",IF(COUNTIF(Venues!$A$2:$A$201,A303)=0,"Unknown venue code",IF(OR(B303="",D303="",E303="",F303=""),"Missing details",IF(LEN(B303)&gt;80,"Name too long",IF(COUNTIFS($A$2:$A$1001,A303,$B$2:$B$1001,B303)&gt;1,"Duplicate court name",IF(AND(C303&lt;&gt;"",C303&lt;&gt;"Hard",C303&lt;&gt;"Synthetic",C303&lt;&gt;"Other",C303&lt;&gt;"Not sure"),"Unknown surface",IF(OR(AND(D303&lt;&gt;"Yes",D303&lt;&gt;"No"),AND(E303&lt;&gt;"Yes",E303&lt;&gt;"No"),AND(F303&lt;&gt;"Yes",F303&lt;&gt;"No")),"Use Yes or No","OK")))))))</f>
      </c>
    </row>
    <row r="304">
      <c r="G304" s="4">
        <f>IF(A304="","",IF(COUNTIF(Venues!$A$2:$A$201,A304)=0,"Unknown venue code",IF(OR(B304="",D304="",E304="",F304=""),"Missing details",IF(LEN(B304)&gt;80,"Name too long",IF(COUNTIFS($A$2:$A$1001,A304,$B$2:$B$1001,B304)&gt;1,"Duplicate court name",IF(AND(C304&lt;&gt;"",C304&lt;&gt;"Hard",C304&lt;&gt;"Synthetic",C304&lt;&gt;"Other",C304&lt;&gt;"Not sure"),"Unknown surface",IF(OR(AND(D304&lt;&gt;"Yes",D304&lt;&gt;"No"),AND(E304&lt;&gt;"Yes",E304&lt;&gt;"No"),AND(F304&lt;&gt;"Yes",F304&lt;&gt;"No")),"Use Yes or No","OK")))))))</f>
      </c>
    </row>
    <row r="305">
      <c r="G305" s="4">
        <f>IF(A305="","",IF(COUNTIF(Venues!$A$2:$A$201,A305)=0,"Unknown venue code",IF(OR(B305="",D305="",E305="",F305=""),"Missing details",IF(LEN(B305)&gt;80,"Name too long",IF(COUNTIFS($A$2:$A$1001,A305,$B$2:$B$1001,B305)&gt;1,"Duplicate court name",IF(AND(C305&lt;&gt;"",C305&lt;&gt;"Hard",C305&lt;&gt;"Synthetic",C305&lt;&gt;"Other",C305&lt;&gt;"Not sure"),"Unknown surface",IF(OR(AND(D305&lt;&gt;"Yes",D305&lt;&gt;"No"),AND(E305&lt;&gt;"Yes",E305&lt;&gt;"No"),AND(F305&lt;&gt;"Yes",F305&lt;&gt;"No")),"Use Yes or No","OK")))))))</f>
      </c>
    </row>
    <row r="306">
      <c r="G306" s="4">
        <f>IF(A306="","",IF(COUNTIF(Venues!$A$2:$A$201,A306)=0,"Unknown venue code",IF(OR(B306="",D306="",E306="",F306=""),"Missing details",IF(LEN(B306)&gt;80,"Name too long",IF(COUNTIFS($A$2:$A$1001,A306,$B$2:$B$1001,B306)&gt;1,"Duplicate court name",IF(AND(C306&lt;&gt;"",C306&lt;&gt;"Hard",C306&lt;&gt;"Synthetic",C306&lt;&gt;"Other",C306&lt;&gt;"Not sure"),"Unknown surface",IF(OR(AND(D306&lt;&gt;"Yes",D306&lt;&gt;"No"),AND(E306&lt;&gt;"Yes",E306&lt;&gt;"No"),AND(F306&lt;&gt;"Yes",F306&lt;&gt;"No")),"Use Yes or No","OK")))))))</f>
      </c>
    </row>
    <row r="307">
      <c r="G307" s="4">
        <f>IF(A307="","",IF(COUNTIF(Venues!$A$2:$A$201,A307)=0,"Unknown venue code",IF(OR(B307="",D307="",E307="",F307=""),"Missing details",IF(LEN(B307)&gt;80,"Name too long",IF(COUNTIFS($A$2:$A$1001,A307,$B$2:$B$1001,B307)&gt;1,"Duplicate court name",IF(AND(C307&lt;&gt;"",C307&lt;&gt;"Hard",C307&lt;&gt;"Synthetic",C307&lt;&gt;"Other",C307&lt;&gt;"Not sure"),"Unknown surface",IF(OR(AND(D307&lt;&gt;"Yes",D307&lt;&gt;"No"),AND(E307&lt;&gt;"Yes",E307&lt;&gt;"No"),AND(F307&lt;&gt;"Yes",F307&lt;&gt;"No")),"Use Yes or No","OK")))))))</f>
      </c>
    </row>
    <row r="308">
      <c r="G308" s="4">
        <f>IF(A308="","",IF(COUNTIF(Venues!$A$2:$A$201,A308)=0,"Unknown venue code",IF(OR(B308="",D308="",E308="",F308=""),"Missing details",IF(LEN(B308)&gt;80,"Name too long",IF(COUNTIFS($A$2:$A$1001,A308,$B$2:$B$1001,B308)&gt;1,"Duplicate court name",IF(AND(C308&lt;&gt;"",C308&lt;&gt;"Hard",C308&lt;&gt;"Synthetic",C308&lt;&gt;"Other",C308&lt;&gt;"Not sure"),"Unknown surface",IF(OR(AND(D308&lt;&gt;"Yes",D308&lt;&gt;"No"),AND(E308&lt;&gt;"Yes",E308&lt;&gt;"No"),AND(F308&lt;&gt;"Yes",F308&lt;&gt;"No")),"Use Yes or No","OK")))))))</f>
      </c>
    </row>
    <row r="309">
      <c r="G309" s="4">
        <f>IF(A309="","",IF(COUNTIF(Venues!$A$2:$A$201,A309)=0,"Unknown venue code",IF(OR(B309="",D309="",E309="",F309=""),"Missing details",IF(LEN(B309)&gt;80,"Name too long",IF(COUNTIFS($A$2:$A$1001,A309,$B$2:$B$1001,B309)&gt;1,"Duplicate court name",IF(AND(C309&lt;&gt;"",C309&lt;&gt;"Hard",C309&lt;&gt;"Synthetic",C309&lt;&gt;"Other",C309&lt;&gt;"Not sure"),"Unknown surface",IF(OR(AND(D309&lt;&gt;"Yes",D309&lt;&gt;"No"),AND(E309&lt;&gt;"Yes",E309&lt;&gt;"No"),AND(F309&lt;&gt;"Yes",F309&lt;&gt;"No")),"Use Yes or No","OK")))))))</f>
      </c>
    </row>
    <row r="310">
      <c r="G310" s="4">
        <f>IF(A310="","",IF(COUNTIF(Venues!$A$2:$A$201,A310)=0,"Unknown venue code",IF(OR(B310="",D310="",E310="",F310=""),"Missing details",IF(LEN(B310)&gt;80,"Name too long",IF(COUNTIFS($A$2:$A$1001,A310,$B$2:$B$1001,B310)&gt;1,"Duplicate court name",IF(AND(C310&lt;&gt;"",C310&lt;&gt;"Hard",C310&lt;&gt;"Synthetic",C310&lt;&gt;"Other",C310&lt;&gt;"Not sure"),"Unknown surface",IF(OR(AND(D310&lt;&gt;"Yes",D310&lt;&gt;"No"),AND(E310&lt;&gt;"Yes",E310&lt;&gt;"No"),AND(F310&lt;&gt;"Yes",F310&lt;&gt;"No")),"Use Yes or No","OK")))))))</f>
      </c>
    </row>
    <row r="311">
      <c r="G311" s="4">
        <f>IF(A311="","",IF(COUNTIF(Venues!$A$2:$A$201,A311)=0,"Unknown venue code",IF(OR(B311="",D311="",E311="",F311=""),"Missing details",IF(LEN(B311)&gt;80,"Name too long",IF(COUNTIFS($A$2:$A$1001,A311,$B$2:$B$1001,B311)&gt;1,"Duplicate court name",IF(AND(C311&lt;&gt;"",C311&lt;&gt;"Hard",C311&lt;&gt;"Synthetic",C311&lt;&gt;"Other",C311&lt;&gt;"Not sure"),"Unknown surface",IF(OR(AND(D311&lt;&gt;"Yes",D311&lt;&gt;"No"),AND(E311&lt;&gt;"Yes",E311&lt;&gt;"No"),AND(F311&lt;&gt;"Yes",F311&lt;&gt;"No")),"Use Yes or No","OK")))))))</f>
      </c>
    </row>
    <row r="312">
      <c r="G312" s="4">
        <f>IF(A312="","",IF(COUNTIF(Venues!$A$2:$A$201,A312)=0,"Unknown venue code",IF(OR(B312="",D312="",E312="",F312=""),"Missing details",IF(LEN(B312)&gt;80,"Name too long",IF(COUNTIFS($A$2:$A$1001,A312,$B$2:$B$1001,B312)&gt;1,"Duplicate court name",IF(AND(C312&lt;&gt;"",C312&lt;&gt;"Hard",C312&lt;&gt;"Synthetic",C312&lt;&gt;"Other",C312&lt;&gt;"Not sure"),"Unknown surface",IF(OR(AND(D312&lt;&gt;"Yes",D312&lt;&gt;"No"),AND(E312&lt;&gt;"Yes",E312&lt;&gt;"No"),AND(F312&lt;&gt;"Yes",F312&lt;&gt;"No")),"Use Yes or No","OK")))))))</f>
      </c>
    </row>
    <row r="313">
      <c r="G313" s="4">
        <f>IF(A313="","",IF(COUNTIF(Venues!$A$2:$A$201,A313)=0,"Unknown venue code",IF(OR(B313="",D313="",E313="",F313=""),"Missing details",IF(LEN(B313)&gt;80,"Name too long",IF(COUNTIFS($A$2:$A$1001,A313,$B$2:$B$1001,B313)&gt;1,"Duplicate court name",IF(AND(C313&lt;&gt;"",C313&lt;&gt;"Hard",C313&lt;&gt;"Synthetic",C313&lt;&gt;"Other",C313&lt;&gt;"Not sure"),"Unknown surface",IF(OR(AND(D313&lt;&gt;"Yes",D313&lt;&gt;"No"),AND(E313&lt;&gt;"Yes",E313&lt;&gt;"No"),AND(F313&lt;&gt;"Yes",F313&lt;&gt;"No")),"Use Yes or No","OK")))))))</f>
      </c>
    </row>
    <row r="314">
      <c r="G314" s="4">
        <f>IF(A314="","",IF(COUNTIF(Venues!$A$2:$A$201,A314)=0,"Unknown venue code",IF(OR(B314="",D314="",E314="",F314=""),"Missing details",IF(LEN(B314)&gt;80,"Name too long",IF(COUNTIFS($A$2:$A$1001,A314,$B$2:$B$1001,B314)&gt;1,"Duplicate court name",IF(AND(C314&lt;&gt;"",C314&lt;&gt;"Hard",C314&lt;&gt;"Synthetic",C314&lt;&gt;"Other",C314&lt;&gt;"Not sure"),"Unknown surface",IF(OR(AND(D314&lt;&gt;"Yes",D314&lt;&gt;"No"),AND(E314&lt;&gt;"Yes",E314&lt;&gt;"No"),AND(F314&lt;&gt;"Yes",F314&lt;&gt;"No")),"Use Yes or No","OK")))))))</f>
      </c>
    </row>
    <row r="315">
      <c r="G315" s="4">
        <f>IF(A315="","",IF(COUNTIF(Venues!$A$2:$A$201,A315)=0,"Unknown venue code",IF(OR(B315="",D315="",E315="",F315=""),"Missing details",IF(LEN(B315)&gt;80,"Name too long",IF(COUNTIFS($A$2:$A$1001,A315,$B$2:$B$1001,B315)&gt;1,"Duplicate court name",IF(AND(C315&lt;&gt;"",C315&lt;&gt;"Hard",C315&lt;&gt;"Synthetic",C315&lt;&gt;"Other",C315&lt;&gt;"Not sure"),"Unknown surface",IF(OR(AND(D315&lt;&gt;"Yes",D315&lt;&gt;"No"),AND(E315&lt;&gt;"Yes",E315&lt;&gt;"No"),AND(F315&lt;&gt;"Yes",F315&lt;&gt;"No")),"Use Yes or No","OK")))))))</f>
      </c>
    </row>
    <row r="316">
      <c r="G316" s="4">
        <f>IF(A316="","",IF(COUNTIF(Venues!$A$2:$A$201,A316)=0,"Unknown venue code",IF(OR(B316="",D316="",E316="",F316=""),"Missing details",IF(LEN(B316)&gt;80,"Name too long",IF(COUNTIFS($A$2:$A$1001,A316,$B$2:$B$1001,B316)&gt;1,"Duplicate court name",IF(AND(C316&lt;&gt;"",C316&lt;&gt;"Hard",C316&lt;&gt;"Synthetic",C316&lt;&gt;"Other",C316&lt;&gt;"Not sure"),"Unknown surface",IF(OR(AND(D316&lt;&gt;"Yes",D316&lt;&gt;"No"),AND(E316&lt;&gt;"Yes",E316&lt;&gt;"No"),AND(F316&lt;&gt;"Yes",F316&lt;&gt;"No")),"Use Yes or No","OK")))))))</f>
      </c>
    </row>
    <row r="317">
      <c r="G317" s="4">
        <f>IF(A317="","",IF(COUNTIF(Venues!$A$2:$A$201,A317)=0,"Unknown venue code",IF(OR(B317="",D317="",E317="",F317=""),"Missing details",IF(LEN(B317)&gt;80,"Name too long",IF(COUNTIFS($A$2:$A$1001,A317,$B$2:$B$1001,B317)&gt;1,"Duplicate court name",IF(AND(C317&lt;&gt;"",C317&lt;&gt;"Hard",C317&lt;&gt;"Synthetic",C317&lt;&gt;"Other",C317&lt;&gt;"Not sure"),"Unknown surface",IF(OR(AND(D317&lt;&gt;"Yes",D317&lt;&gt;"No"),AND(E317&lt;&gt;"Yes",E317&lt;&gt;"No"),AND(F317&lt;&gt;"Yes",F317&lt;&gt;"No")),"Use Yes or No","OK")))))))</f>
      </c>
    </row>
    <row r="318">
      <c r="G318" s="4">
        <f>IF(A318="","",IF(COUNTIF(Venues!$A$2:$A$201,A318)=0,"Unknown venue code",IF(OR(B318="",D318="",E318="",F318=""),"Missing details",IF(LEN(B318)&gt;80,"Name too long",IF(COUNTIFS($A$2:$A$1001,A318,$B$2:$B$1001,B318)&gt;1,"Duplicate court name",IF(AND(C318&lt;&gt;"",C318&lt;&gt;"Hard",C318&lt;&gt;"Synthetic",C318&lt;&gt;"Other",C318&lt;&gt;"Not sure"),"Unknown surface",IF(OR(AND(D318&lt;&gt;"Yes",D318&lt;&gt;"No"),AND(E318&lt;&gt;"Yes",E318&lt;&gt;"No"),AND(F318&lt;&gt;"Yes",F318&lt;&gt;"No")),"Use Yes or No","OK")))))))</f>
      </c>
    </row>
    <row r="319">
      <c r="G319" s="4">
        <f>IF(A319="","",IF(COUNTIF(Venues!$A$2:$A$201,A319)=0,"Unknown venue code",IF(OR(B319="",D319="",E319="",F319=""),"Missing details",IF(LEN(B319)&gt;80,"Name too long",IF(COUNTIFS($A$2:$A$1001,A319,$B$2:$B$1001,B319)&gt;1,"Duplicate court name",IF(AND(C319&lt;&gt;"",C319&lt;&gt;"Hard",C319&lt;&gt;"Synthetic",C319&lt;&gt;"Other",C319&lt;&gt;"Not sure"),"Unknown surface",IF(OR(AND(D319&lt;&gt;"Yes",D319&lt;&gt;"No"),AND(E319&lt;&gt;"Yes",E319&lt;&gt;"No"),AND(F319&lt;&gt;"Yes",F319&lt;&gt;"No")),"Use Yes or No","OK")))))))</f>
      </c>
    </row>
    <row r="320">
      <c r="G320" s="4">
        <f>IF(A320="","",IF(COUNTIF(Venues!$A$2:$A$201,A320)=0,"Unknown venue code",IF(OR(B320="",D320="",E320="",F320=""),"Missing details",IF(LEN(B320)&gt;80,"Name too long",IF(COUNTIFS($A$2:$A$1001,A320,$B$2:$B$1001,B320)&gt;1,"Duplicate court name",IF(AND(C320&lt;&gt;"",C320&lt;&gt;"Hard",C320&lt;&gt;"Synthetic",C320&lt;&gt;"Other",C320&lt;&gt;"Not sure"),"Unknown surface",IF(OR(AND(D320&lt;&gt;"Yes",D320&lt;&gt;"No"),AND(E320&lt;&gt;"Yes",E320&lt;&gt;"No"),AND(F320&lt;&gt;"Yes",F320&lt;&gt;"No")),"Use Yes or No","OK")))))))</f>
      </c>
    </row>
    <row r="321">
      <c r="G321" s="4">
        <f>IF(A321="","",IF(COUNTIF(Venues!$A$2:$A$201,A321)=0,"Unknown venue code",IF(OR(B321="",D321="",E321="",F321=""),"Missing details",IF(LEN(B321)&gt;80,"Name too long",IF(COUNTIFS($A$2:$A$1001,A321,$B$2:$B$1001,B321)&gt;1,"Duplicate court name",IF(AND(C321&lt;&gt;"",C321&lt;&gt;"Hard",C321&lt;&gt;"Synthetic",C321&lt;&gt;"Other",C321&lt;&gt;"Not sure"),"Unknown surface",IF(OR(AND(D321&lt;&gt;"Yes",D321&lt;&gt;"No"),AND(E321&lt;&gt;"Yes",E321&lt;&gt;"No"),AND(F321&lt;&gt;"Yes",F321&lt;&gt;"No")),"Use Yes or No","OK")))))))</f>
      </c>
    </row>
    <row r="322">
      <c r="G322" s="4">
        <f>IF(A322="","",IF(COUNTIF(Venues!$A$2:$A$201,A322)=0,"Unknown venue code",IF(OR(B322="",D322="",E322="",F322=""),"Missing details",IF(LEN(B322)&gt;80,"Name too long",IF(COUNTIFS($A$2:$A$1001,A322,$B$2:$B$1001,B322)&gt;1,"Duplicate court name",IF(AND(C322&lt;&gt;"",C322&lt;&gt;"Hard",C322&lt;&gt;"Synthetic",C322&lt;&gt;"Other",C322&lt;&gt;"Not sure"),"Unknown surface",IF(OR(AND(D322&lt;&gt;"Yes",D322&lt;&gt;"No"),AND(E322&lt;&gt;"Yes",E322&lt;&gt;"No"),AND(F322&lt;&gt;"Yes",F322&lt;&gt;"No")),"Use Yes or No","OK")))))))</f>
      </c>
    </row>
    <row r="323">
      <c r="G323" s="4">
        <f>IF(A323="","",IF(COUNTIF(Venues!$A$2:$A$201,A323)=0,"Unknown venue code",IF(OR(B323="",D323="",E323="",F323=""),"Missing details",IF(LEN(B323)&gt;80,"Name too long",IF(COUNTIFS($A$2:$A$1001,A323,$B$2:$B$1001,B323)&gt;1,"Duplicate court name",IF(AND(C323&lt;&gt;"",C323&lt;&gt;"Hard",C323&lt;&gt;"Synthetic",C323&lt;&gt;"Other",C323&lt;&gt;"Not sure"),"Unknown surface",IF(OR(AND(D323&lt;&gt;"Yes",D323&lt;&gt;"No"),AND(E323&lt;&gt;"Yes",E323&lt;&gt;"No"),AND(F323&lt;&gt;"Yes",F323&lt;&gt;"No")),"Use Yes or No","OK")))))))</f>
      </c>
    </row>
    <row r="324">
      <c r="G324" s="4">
        <f>IF(A324="","",IF(COUNTIF(Venues!$A$2:$A$201,A324)=0,"Unknown venue code",IF(OR(B324="",D324="",E324="",F324=""),"Missing details",IF(LEN(B324)&gt;80,"Name too long",IF(COUNTIFS($A$2:$A$1001,A324,$B$2:$B$1001,B324)&gt;1,"Duplicate court name",IF(AND(C324&lt;&gt;"",C324&lt;&gt;"Hard",C324&lt;&gt;"Synthetic",C324&lt;&gt;"Other",C324&lt;&gt;"Not sure"),"Unknown surface",IF(OR(AND(D324&lt;&gt;"Yes",D324&lt;&gt;"No"),AND(E324&lt;&gt;"Yes",E324&lt;&gt;"No"),AND(F324&lt;&gt;"Yes",F324&lt;&gt;"No")),"Use Yes or No","OK")))))))</f>
      </c>
    </row>
    <row r="325">
      <c r="G325" s="4">
        <f>IF(A325="","",IF(COUNTIF(Venues!$A$2:$A$201,A325)=0,"Unknown venue code",IF(OR(B325="",D325="",E325="",F325=""),"Missing details",IF(LEN(B325)&gt;80,"Name too long",IF(COUNTIFS($A$2:$A$1001,A325,$B$2:$B$1001,B325)&gt;1,"Duplicate court name",IF(AND(C325&lt;&gt;"",C325&lt;&gt;"Hard",C325&lt;&gt;"Synthetic",C325&lt;&gt;"Other",C325&lt;&gt;"Not sure"),"Unknown surface",IF(OR(AND(D325&lt;&gt;"Yes",D325&lt;&gt;"No"),AND(E325&lt;&gt;"Yes",E325&lt;&gt;"No"),AND(F325&lt;&gt;"Yes",F325&lt;&gt;"No")),"Use Yes or No","OK")))))))</f>
      </c>
    </row>
    <row r="326">
      <c r="G326" s="4">
        <f>IF(A326="","",IF(COUNTIF(Venues!$A$2:$A$201,A326)=0,"Unknown venue code",IF(OR(B326="",D326="",E326="",F326=""),"Missing details",IF(LEN(B326)&gt;80,"Name too long",IF(COUNTIFS($A$2:$A$1001,A326,$B$2:$B$1001,B326)&gt;1,"Duplicate court name",IF(AND(C326&lt;&gt;"",C326&lt;&gt;"Hard",C326&lt;&gt;"Synthetic",C326&lt;&gt;"Other",C326&lt;&gt;"Not sure"),"Unknown surface",IF(OR(AND(D326&lt;&gt;"Yes",D326&lt;&gt;"No"),AND(E326&lt;&gt;"Yes",E326&lt;&gt;"No"),AND(F326&lt;&gt;"Yes",F326&lt;&gt;"No")),"Use Yes or No","OK")))))))</f>
      </c>
    </row>
    <row r="327">
      <c r="G327" s="4">
        <f>IF(A327="","",IF(COUNTIF(Venues!$A$2:$A$201,A327)=0,"Unknown venue code",IF(OR(B327="",D327="",E327="",F327=""),"Missing details",IF(LEN(B327)&gt;80,"Name too long",IF(COUNTIFS($A$2:$A$1001,A327,$B$2:$B$1001,B327)&gt;1,"Duplicate court name",IF(AND(C327&lt;&gt;"",C327&lt;&gt;"Hard",C327&lt;&gt;"Synthetic",C327&lt;&gt;"Other",C327&lt;&gt;"Not sure"),"Unknown surface",IF(OR(AND(D327&lt;&gt;"Yes",D327&lt;&gt;"No"),AND(E327&lt;&gt;"Yes",E327&lt;&gt;"No"),AND(F327&lt;&gt;"Yes",F327&lt;&gt;"No")),"Use Yes or No","OK")))))))</f>
      </c>
    </row>
    <row r="328">
      <c r="G328" s="4">
        <f>IF(A328="","",IF(COUNTIF(Venues!$A$2:$A$201,A328)=0,"Unknown venue code",IF(OR(B328="",D328="",E328="",F328=""),"Missing details",IF(LEN(B328)&gt;80,"Name too long",IF(COUNTIFS($A$2:$A$1001,A328,$B$2:$B$1001,B328)&gt;1,"Duplicate court name",IF(AND(C328&lt;&gt;"",C328&lt;&gt;"Hard",C328&lt;&gt;"Synthetic",C328&lt;&gt;"Other",C328&lt;&gt;"Not sure"),"Unknown surface",IF(OR(AND(D328&lt;&gt;"Yes",D328&lt;&gt;"No"),AND(E328&lt;&gt;"Yes",E328&lt;&gt;"No"),AND(F328&lt;&gt;"Yes",F328&lt;&gt;"No")),"Use Yes or No","OK")))))))</f>
      </c>
    </row>
    <row r="329">
      <c r="G329" s="4">
        <f>IF(A329="","",IF(COUNTIF(Venues!$A$2:$A$201,A329)=0,"Unknown venue code",IF(OR(B329="",D329="",E329="",F329=""),"Missing details",IF(LEN(B329)&gt;80,"Name too long",IF(COUNTIFS($A$2:$A$1001,A329,$B$2:$B$1001,B329)&gt;1,"Duplicate court name",IF(AND(C329&lt;&gt;"",C329&lt;&gt;"Hard",C329&lt;&gt;"Synthetic",C329&lt;&gt;"Other",C329&lt;&gt;"Not sure"),"Unknown surface",IF(OR(AND(D329&lt;&gt;"Yes",D329&lt;&gt;"No"),AND(E329&lt;&gt;"Yes",E329&lt;&gt;"No"),AND(F329&lt;&gt;"Yes",F329&lt;&gt;"No")),"Use Yes or No","OK")))))))</f>
      </c>
    </row>
    <row r="330">
      <c r="G330" s="4">
        <f>IF(A330="","",IF(COUNTIF(Venues!$A$2:$A$201,A330)=0,"Unknown venue code",IF(OR(B330="",D330="",E330="",F330=""),"Missing details",IF(LEN(B330)&gt;80,"Name too long",IF(COUNTIFS($A$2:$A$1001,A330,$B$2:$B$1001,B330)&gt;1,"Duplicate court name",IF(AND(C330&lt;&gt;"",C330&lt;&gt;"Hard",C330&lt;&gt;"Synthetic",C330&lt;&gt;"Other",C330&lt;&gt;"Not sure"),"Unknown surface",IF(OR(AND(D330&lt;&gt;"Yes",D330&lt;&gt;"No"),AND(E330&lt;&gt;"Yes",E330&lt;&gt;"No"),AND(F330&lt;&gt;"Yes",F330&lt;&gt;"No")),"Use Yes or No","OK")))))))</f>
      </c>
    </row>
    <row r="331">
      <c r="G331" s="4">
        <f>IF(A331="","",IF(COUNTIF(Venues!$A$2:$A$201,A331)=0,"Unknown venue code",IF(OR(B331="",D331="",E331="",F331=""),"Missing details",IF(LEN(B331)&gt;80,"Name too long",IF(COUNTIFS($A$2:$A$1001,A331,$B$2:$B$1001,B331)&gt;1,"Duplicate court name",IF(AND(C331&lt;&gt;"",C331&lt;&gt;"Hard",C331&lt;&gt;"Synthetic",C331&lt;&gt;"Other",C331&lt;&gt;"Not sure"),"Unknown surface",IF(OR(AND(D331&lt;&gt;"Yes",D331&lt;&gt;"No"),AND(E331&lt;&gt;"Yes",E331&lt;&gt;"No"),AND(F331&lt;&gt;"Yes",F331&lt;&gt;"No")),"Use Yes or No","OK")))))))</f>
      </c>
    </row>
    <row r="332">
      <c r="G332" s="4">
        <f>IF(A332="","",IF(COUNTIF(Venues!$A$2:$A$201,A332)=0,"Unknown venue code",IF(OR(B332="",D332="",E332="",F332=""),"Missing details",IF(LEN(B332)&gt;80,"Name too long",IF(COUNTIFS($A$2:$A$1001,A332,$B$2:$B$1001,B332)&gt;1,"Duplicate court name",IF(AND(C332&lt;&gt;"",C332&lt;&gt;"Hard",C332&lt;&gt;"Synthetic",C332&lt;&gt;"Other",C332&lt;&gt;"Not sure"),"Unknown surface",IF(OR(AND(D332&lt;&gt;"Yes",D332&lt;&gt;"No"),AND(E332&lt;&gt;"Yes",E332&lt;&gt;"No"),AND(F332&lt;&gt;"Yes",F332&lt;&gt;"No")),"Use Yes or No","OK")))))))</f>
      </c>
    </row>
    <row r="333">
      <c r="G333" s="4">
        <f>IF(A333="","",IF(COUNTIF(Venues!$A$2:$A$201,A333)=0,"Unknown venue code",IF(OR(B333="",D333="",E333="",F333=""),"Missing details",IF(LEN(B333)&gt;80,"Name too long",IF(COUNTIFS($A$2:$A$1001,A333,$B$2:$B$1001,B333)&gt;1,"Duplicate court name",IF(AND(C333&lt;&gt;"",C333&lt;&gt;"Hard",C333&lt;&gt;"Synthetic",C333&lt;&gt;"Other",C333&lt;&gt;"Not sure"),"Unknown surface",IF(OR(AND(D333&lt;&gt;"Yes",D333&lt;&gt;"No"),AND(E333&lt;&gt;"Yes",E333&lt;&gt;"No"),AND(F333&lt;&gt;"Yes",F333&lt;&gt;"No")),"Use Yes or No","OK")))))))</f>
      </c>
    </row>
    <row r="334">
      <c r="G334" s="4">
        <f>IF(A334="","",IF(COUNTIF(Venues!$A$2:$A$201,A334)=0,"Unknown venue code",IF(OR(B334="",D334="",E334="",F334=""),"Missing details",IF(LEN(B334)&gt;80,"Name too long",IF(COUNTIFS($A$2:$A$1001,A334,$B$2:$B$1001,B334)&gt;1,"Duplicate court name",IF(AND(C334&lt;&gt;"",C334&lt;&gt;"Hard",C334&lt;&gt;"Synthetic",C334&lt;&gt;"Other",C334&lt;&gt;"Not sure"),"Unknown surface",IF(OR(AND(D334&lt;&gt;"Yes",D334&lt;&gt;"No"),AND(E334&lt;&gt;"Yes",E334&lt;&gt;"No"),AND(F334&lt;&gt;"Yes",F334&lt;&gt;"No")),"Use Yes or No","OK")))))))</f>
      </c>
    </row>
    <row r="335">
      <c r="G335" s="4">
        <f>IF(A335="","",IF(COUNTIF(Venues!$A$2:$A$201,A335)=0,"Unknown venue code",IF(OR(B335="",D335="",E335="",F335=""),"Missing details",IF(LEN(B335)&gt;80,"Name too long",IF(COUNTIFS($A$2:$A$1001,A335,$B$2:$B$1001,B335)&gt;1,"Duplicate court name",IF(AND(C335&lt;&gt;"",C335&lt;&gt;"Hard",C335&lt;&gt;"Synthetic",C335&lt;&gt;"Other",C335&lt;&gt;"Not sure"),"Unknown surface",IF(OR(AND(D335&lt;&gt;"Yes",D335&lt;&gt;"No"),AND(E335&lt;&gt;"Yes",E335&lt;&gt;"No"),AND(F335&lt;&gt;"Yes",F335&lt;&gt;"No")),"Use Yes or No","OK")))))))</f>
      </c>
    </row>
    <row r="336">
      <c r="G336" s="4">
        <f>IF(A336="","",IF(COUNTIF(Venues!$A$2:$A$201,A336)=0,"Unknown venue code",IF(OR(B336="",D336="",E336="",F336=""),"Missing details",IF(LEN(B336)&gt;80,"Name too long",IF(COUNTIFS($A$2:$A$1001,A336,$B$2:$B$1001,B336)&gt;1,"Duplicate court name",IF(AND(C336&lt;&gt;"",C336&lt;&gt;"Hard",C336&lt;&gt;"Synthetic",C336&lt;&gt;"Other",C336&lt;&gt;"Not sure"),"Unknown surface",IF(OR(AND(D336&lt;&gt;"Yes",D336&lt;&gt;"No"),AND(E336&lt;&gt;"Yes",E336&lt;&gt;"No"),AND(F336&lt;&gt;"Yes",F336&lt;&gt;"No")),"Use Yes or No","OK")))))))</f>
      </c>
    </row>
    <row r="337">
      <c r="G337" s="4">
        <f>IF(A337="","",IF(COUNTIF(Venues!$A$2:$A$201,A337)=0,"Unknown venue code",IF(OR(B337="",D337="",E337="",F337=""),"Missing details",IF(LEN(B337)&gt;80,"Name too long",IF(COUNTIFS($A$2:$A$1001,A337,$B$2:$B$1001,B337)&gt;1,"Duplicate court name",IF(AND(C337&lt;&gt;"",C337&lt;&gt;"Hard",C337&lt;&gt;"Synthetic",C337&lt;&gt;"Other",C337&lt;&gt;"Not sure"),"Unknown surface",IF(OR(AND(D337&lt;&gt;"Yes",D337&lt;&gt;"No"),AND(E337&lt;&gt;"Yes",E337&lt;&gt;"No"),AND(F337&lt;&gt;"Yes",F337&lt;&gt;"No")),"Use Yes or No","OK")))))))</f>
      </c>
    </row>
    <row r="338">
      <c r="G338" s="4">
        <f>IF(A338="","",IF(COUNTIF(Venues!$A$2:$A$201,A338)=0,"Unknown venue code",IF(OR(B338="",D338="",E338="",F338=""),"Missing details",IF(LEN(B338)&gt;80,"Name too long",IF(COUNTIFS($A$2:$A$1001,A338,$B$2:$B$1001,B338)&gt;1,"Duplicate court name",IF(AND(C338&lt;&gt;"",C338&lt;&gt;"Hard",C338&lt;&gt;"Synthetic",C338&lt;&gt;"Other",C338&lt;&gt;"Not sure"),"Unknown surface",IF(OR(AND(D338&lt;&gt;"Yes",D338&lt;&gt;"No"),AND(E338&lt;&gt;"Yes",E338&lt;&gt;"No"),AND(F338&lt;&gt;"Yes",F338&lt;&gt;"No")),"Use Yes or No","OK")))))))</f>
      </c>
    </row>
    <row r="339">
      <c r="G339" s="4">
        <f>IF(A339="","",IF(COUNTIF(Venues!$A$2:$A$201,A339)=0,"Unknown venue code",IF(OR(B339="",D339="",E339="",F339=""),"Missing details",IF(LEN(B339)&gt;80,"Name too long",IF(COUNTIFS($A$2:$A$1001,A339,$B$2:$B$1001,B339)&gt;1,"Duplicate court name",IF(AND(C339&lt;&gt;"",C339&lt;&gt;"Hard",C339&lt;&gt;"Synthetic",C339&lt;&gt;"Other",C339&lt;&gt;"Not sure"),"Unknown surface",IF(OR(AND(D339&lt;&gt;"Yes",D339&lt;&gt;"No"),AND(E339&lt;&gt;"Yes",E339&lt;&gt;"No"),AND(F339&lt;&gt;"Yes",F339&lt;&gt;"No")),"Use Yes or No","OK")))))))</f>
      </c>
    </row>
    <row r="340">
      <c r="G340" s="4">
        <f>IF(A340="","",IF(COUNTIF(Venues!$A$2:$A$201,A340)=0,"Unknown venue code",IF(OR(B340="",D340="",E340="",F340=""),"Missing details",IF(LEN(B340)&gt;80,"Name too long",IF(COUNTIFS($A$2:$A$1001,A340,$B$2:$B$1001,B340)&gt;1,"Duplicate court name",IF(AND(C340&lt;&gt;"",C340&lt;&gt;"Hard",C340&lt;&gt;"Synthetic",C340&lt;&gt;"Other",C340&lt;&gt;"Not sure"),"Unknown surface",IF(OR(AND(D340&lt;&gt;"Yes",D340&lt;&gt;"No"),AND(E340&lt;&gt;"Yes",E340&lt;&gt;"No"),AND(F340&lt;&gt;"Yes",F340&lt;&gt;"No")),"Use Yes or No","OK")))))))</f>
      </c>
    </row>
    <row r="341">
      <c r="G341" s="4">
        <f>IF(A341="","",IF(COUNTIF(Venues!$A$2:$A$201,A341)=0,"Unknown venue code",IF(OR(B341="",D341="",E341="",F341=""),"Missing details",IF(LEN(B341)&gt;80,"Name too long",IF(COUNTIFS($A$2:$A$1001,A341,$B$2:$B$1001,B341)&gt;1,"Duplicate court name",IF(AND(C341&lt;&gt;"",C341&lt;&gt;"Hard",C341&lt;&gt;"Synthetic",C341&lt;&gt;"Other",C341&lt;&gt;"Not sure"),"Unknown surface",IF(OR(AND(D341&lt;&gt;"Yes",D341&lt;&gt;"No"),AND(E341&lt;&gt;"Yes",E341&lt;&gt;"No"),AND(F341&lt;&gt;"Yes",F341&lt;&gt;"No")),"Use Yes or No","OK")))))))</f>
      </c>
    </row>
    <row r="342">
      <c r="G342" s="4">
        <f>IF(A342="","",IF(COUNTIF(Venues!$A$2:$A$201,A342)=0,"Unknown venue code",IF(OR(B342="",D342="",E342="",F342=""),"Missing details",IF(LEN(B342)&gt;80,"Name too long",IF(COUNTIFS($A$2:$A$1001,A342,$B$2:$B$1001,B342)&gt;1,"Duplicate court name",IF(AND(C342&lt;&gt;"",C342&lt;&gt;"Hard",C342&lt;&gt;"Synthetic",C342&lt;&gt;"Other",C342&lt;&gt;"Not sure"),"Unknown surface",IF(OR(AND(D342&lt;&gt;"Yes",D342&lt;&gt;"No"),AND(E342&lt;&gt;"Yes",E342&lt;&gt;"No"),AND(F342&lt;&gt;"Yes",F342&lt;&gt;"No")),"Use Yes or No","OK")))))))</f>
      </c>
    </row>
    <row r="343">
      <c r="G343" s="4">
        <f>IF(A343="","",IF(COUNTIF(Venues!$A$2:$A$201,A343)=0,"Unknown venue code",IF(OR(B343="",D343="",E343="",F343=""),"Missing details",IF(LEN(B343)&gt;80,"Name too long",IF(COUNTIFS($A$2:$A$1001,A343,$B$2:$B$1001,B343)&gt;1,"Duplicate court name",IF(AND(C343&lt;&gt;"",C343&lt;&gt;"Hard",C343&lt;&gt;"Synthetic",C343&lt;&gt;"Other",C343&lt;&gt;"Not sure"),"Unknown surface",IF(OR(AND(D343&lt;&gt;"Yes",D343&lt;&gt;"No"),AND(E343&lt;&gt;"Yes",E343&lt;&gt;"No"),AND(F343&lt;&gt;"Yes",F343&lt;&gt;"No")),"Use Yes or No","OK")))))))</f>
      </c>
    </row>
    <row r="344">
      <c r="G344" s="4">
        <f>IF(A344="","",IF(COUNTIF(Venues!$A$2:$A$201,A344)=0,"Unknown venue code",IF(OR(B344="",D344="",E344="",F344=""),"Missing details",IF(LEN(B344)&gt;80,"Name too long",IF(COUNTIFS($A$2:$A$1001,A344,$B$2:$B$1001,B344)&gt;1,"Duplicate court name",IF(AND(C344&lt;&gt;"",C344&lt;&gt;"Hard",C344&lt;&gt;"Synthetic",C344&lt;&gt;"Other",C344&lt;&gt;"Not sure"),"Unknown surface",IF(OR(AND(D344&lt;&gt;"Yes",D344&lt;&gt;"No"),AND(E344&lt;&gt;"Yes",E344&lt;&gt;"No"),AND(F344&lt;&gt;"Yes",F344&lt;&gt;"No")),"Use Yes or No","OK")))))))</f>
      </c>
    </row>
    <row r="345">
      <c r="G345" s="4">
        <f>IF(A345="","",IF(COUNTIF(Venues!$A$2:$A$201,A345)=0,"Unknown venue code",IF(OR(B345="",D345="",E345="",F345=""),"Missing details",IF(LEN(B345)&gt;80,"Name too long",IF(COUNTIFS($A$2:$A$1001,A345,$B$2:$B$1001,B345)&gt;1,"Duplicate court name",IF(AND(C345&lt;&gt;"",C345&lt;&gt;"Hard",C345&lt;&gt;"Synthetic",C345&lt;&gt;"Other",C345&lt;&gt;"Not sure"),"Unknown surface",IF(OR(AND(D345&lt;&gt;"Yes",D345&lt;&gt;"No"),AND(E345&lt;&gt;"Yes",E345&lt;&gt;"No"),AND(F345&lt;&gt;"Yes",F345&lt;&gt;"No")),"Use Yes or No","OK")))))))</f>
      </c>
    </row>
    <row r="346">
      <c r="G346" s="4">
        <f>IF(A346="","",IF(COUNTIF(Venues!$A$2:$A$201,A346)=0,"Unknown venue code",IF(OR(B346="",D346="",E346="",F346=""),"Missing details",IF(LEN(B346)&gt;80,"Name too long",IF(COUNTIFS($A$2:$A$1001,A346,$B$2:$B$1001,B346)&gt;1,"Duplicate court name",IF(AND(C346&lt;&gt;"",C346&lt;&gt;"Hard",C346&lt;&gt;"Synthetic",C346&lt;&gt;"Other",C346&lt;&gt;"Not sure"),"Unknown surface",IF(OR(AND(D346&lt;&gt;"Yes",D346&lt;&gt;"No"),AND(E346&lt;&gt;"Yes",E346&lt;&gt;"No"),AND(F346&lt;&gt;"Yes",F346&lt;&gt;"No")),"Use Yes or No","OK")))))))</f>
      </c>
    </row>
    <row r="347">
      <c r="G347" s="4">
        <f>IF(A347="","",IF(COUNTIF(Venues!$A$2:$A$201,A347)=0,"Unknown venue code",IF(OR(B347="",D347="",E347="",F347=""),"Missing details",IF(LEN(B347)&gt;80,"Name too long",IF(COUNTIFS($A$2:$A$1001,A347,$B$2:$B$1001,B347)&gt;1,"Duplicate court name",IF(AND(C347&lt;&gt;"",C347&lt;&gt;"Hard",C347&lt;&gt;"Synthetic",C347&lt;&gt;"Other",C347&lt;&gt;"Not sure"),"Unknown surface",IF(OR(AND(D347&lt;&gt;"Yes",D347&lt;&gt;"No"),AND(E347&lt;&gt;"Yes",E347&lt;&gt;"No"),AND(F347&lt;&gt;"Yes",F347&lt;&gt;"No")),"Use Yes or No","OK")))))))</f>
      </c>
    </row>
    <row r="348">
      <c r="G348" s="4">
        <f>IF(A348="","",IF(COUNTIF(Venues!$A$2:$A$201,A348)=0,"Unknown venue code",IF(OR(B348="",D348="",E348="",F348=""),"Missing details",IF(LEN(B348)&gt;80,"Name too long",IF(COUNTIFS($A$2:$A$1001,A348,$B$2:$B$1001,B348)&gt;1,"Duplicate court name",IF(AND(C348&lt;&gt;"",C348&lt;&gt;"Hard",C348&lt;&gt;"Synthetic",C348&lt;&gt;"Other",C348&lt;&gt;"Not sure"),"Unknown surface",IF(OR(AND(D348&lt;&gt;"Yes",D348&lt;&gt;"No"),AND(E348&lt;&gt;"Yes",E348&lt;&gt;"No"),AND(F348&lt;&gt;"Yes",F348&lt;&gt;"No")),"Use Yes or No","OK")))))))</f>
      </c>
    </row>
    <row r="349">
      <c r="G349" s="4">
        <f>IF(A349="","",IF(COUNTIF(Venues!$A$2:$A$201,A349)=0,"Unknown venue code",IF(OR(B349="",D349="",E349="",F349=""),"Missing details",IF(LEN(B349)&gt;80,"Name too long",IF(COUNTIFS($A$2:$A$1001,A349,$B$2:$B$1001,B349)&gt;1,"Duplicate court name",IF(AND(C349&lt;&gt;"",C349&lt;&gt;"Hard",C349&lt;&gt;"Synthetic",C349&lt;&gt;"Other",C349&lt;&gt;"Not sure"),"Unknown surface",IF(OR(AND(D349&lt;&gt;"Yes",D349&lt;&gt;"No"),AND(E349&lt;&gt;"Yes",E349&lt;&gt;"No"),AND(F349&lt;&gt;"Yes",F349&lt;&gt;"No")),"Use Yes or No","OK")))))))</f>
      </c>
    </row>
    <row r="350">
      <c r="G350" s="4">
        <f>IF(A350="","",IF(COUNTIF(Venues!$A$2:$A$201,A350)=0,"Unknown venue code",IF(OR(B350="",D350="",E350="",F350=""),"Missing details",IF(LEN(B350)&gt;80,"Name too long",IF(COUNTIFS($A$2:$A$1001,A350,$B$2:$B$1001,B350)&gt;1,"Duplicate court name",IF(AND(C350&lt;&gt;"",C350&lt;&gt;"Hard",C350&lt;&gt;"Synthetic",C350&lt;&gt;"Other",C350&lt;&gt;"Not sure"),"Unknown surface",IF(OR(AND(D350&lt;&gt;"Yes",D350&lt;&gt;"No"),AND(E350&lt;&gt;"Yes",E350&lt;&gt;"No"),AND(F350&lt;&gt;"Yes",F350&lt;&gt;"No")),"Use Yes or No","OK")))))))</f>
      </c>
    </row>
    <row r="351">
      <c r="G351" s="4">
        <f>IF(A351="","",IF(COUNTIF(Venues!$A$2:$A$201,A351)=0,"Unknown venue code",IF(OR(B351="",D351="",E351="",F351=""),"Missing details",IF(LEN(B351)&gt;80,"Name too long",IF(COUNTIFS($A$2:$A$1001,A351,$B$2:$B$1001,B351)&gt;1,"Duplicate court name",IF(AND(C351&lt;&gt;"",C351&lt;&gt;"Hard",C351&lt;&gt;"Synthetic",C351&lt;&gt;"Other",C351&lt;&gt;"Not sure"),"Unknown surface",IF(OR(AND(D351&lt;&gt;"Yes",D351&lt;&gt;"No"),AND(E351&lt;&gt;"Yes",E351&lt;&gt;"No"),AND(F351&lt;&gt;"Yes",F351&lt;&gt;"No")),"Use Yes or No","OK")))))))</f>
      </c>
    </row>
    <row r="352">
      <c r="G352" s="4">
        <f>IF(A352="","",IF(COUNTIF(Venues!$A$2:$A$201,A352)=0,"Unknown venue code",IF(OR(B352="",D352="",E352="",F352=""),"Missing details",IF(LEN(B352)&gt;80,"Name too long",IF(COUNTIFS($A$2:$A$1001,A352,$B$2:$B$1001,B352)&gt;1,"Duplicate court name",IF(AND(C352&lt;&gt;"",C352&lt;&gt;"Hard",C352&lt;&gt;"Synthetic",C352&lt;&gt;"Other",C352&lt;&gt;"Not sure"),"Unknown surface",IF(OR(AND(D352&lt;&gt;"Yes",D352&lt;&gt;"No"),AND(E352&lt;&gt;"Yes",E352&lt;&gt;"No"),AND(F352&lt;&gt;"Yes",F352&lt;&gt;"No")),"Use Yes or No","OK")))))))</f>
      </c>
    </row>
    <row r="353">
      <c r="G353" s="4">
        <f>IF(A353="","",IF(COUNTIF(Venues!$A$2:$A$201,A353)=0,"Unknown venue code",IF(OR(B353="",D353="",E353="",F353=""),"Missing details",IF(LEN(B353)&gt;80,"Name too long",IF(COUNTIFS($A$2:$A$1001,A353,$B$2:$B$1001,B353)&gt;1,"Duplicate court name",IF(AND(C353&lt;&gt;"",C353&lt;&gt;"Hard",C353&lt;&gt;"Synthetic",C353&lt;&gt;"Other",C353&lt;&gt;"Not sure"),"Unknown surface",IF(OR(AND(D353&lt;&gt;"Yes",D353&lt;&gt;"No"),AND(E353&lt;&gt;"Yes",E353&lt;&gt;"No"),AND(F353&lt;&gt;"Yes",F353&lt;&gt;"No")),"Use Yes or No","OK")))))))</f>
      </c>
    </row>
    <row r="354">
      <c r="G354" s="4">
        <f>IF(A354="","",IF(COUNTIF(Venues!$A$2:$A$201,A354)=0,"Unknown venue code",IF(OR(B354="",D354="",E354="",F354=""),"Missing details",IF(LEN(B354)&gt;80,"Name too long",IF(COUNTIFS($A$2:$A$1001,A354,$B$2:$B$1001,B354)&gt;1,"Duplicate court name",IF(AND(C354&lt;&gt;"",C354&lt;&gt;"Hard",C354&lt;&gt;"Synthetic",C354&lt;&gt;"Other",C354&lt;&gt;"Not sure"),"Unknown surface",IF(OR(AND(D354&lt;&gt;"Yes",D354&lt;&gt;"No"),AND(E354&lt;&gt;"Yes",E354&lt;&gt;"No"),AND(F354&lt;&gt;"Yes",F354&lt;&gt;"No")),"Use Yes or No","OK")))))))</f>
      </c>
    </row>
    <row r="355">
      <c r="G355" s="4">
        <f>IF(A355="","",IF(COUNTIF(Venues!$A$2:$A$201,A355)=0,"Unknown venue code",IF(OR(B355="",D355="",E355="",F355=""),"Missing details",IF(LEN(B355)&gt;80,"Name too long",IF(COUNTIFS($A$2:$A$1001,A355,$B$2:$B$1001,B355)&gt;1,"Duplicate court name",IF(AND(C355&lt;&gt;"",C355&lt;&gt;"Hard",C355&lt;&gt;"Synthetic",C355&lt;&gt;"Other",C355&lt;&gt;"Not sure"),"Unknown surface",IF(OR(AND(D355&lt;&gt;"Yes",D355&lt;&gt;"No"),AND(E355&lt;&gt;"Yes",E355&lt;&gt;"No"),AND(F355&lt;&gt;"Yes",F355&lt;&gt;"No")),"Use Yes or No","OK")))))))</f>
      </c>
    </row>
    <row r="356">
      <c r="G356" s="4">
        <f>IF(A356="","",IF(COUNTIF(Venues!$A$2:$A$201,A356)=0,"Unknown venue code",IF(OR(B356="",D356="",E356="",F356=""),"Missing details",IF(LEN(B356)&gt;80,"Name too long",IF(COUNTIFS($A$2:$A$1001,A356,$B$2:$B$1001,B356)&gt;1,"Duplicate court name",IF(AND(C356&lt;&gt;"",C356&lt;&gt;"Hard",C356&lt;&gt;"Synthetic",C356&lt;&gt;"Other",C356&lt;&gt;"Not sure"),"Unknown surface",IF(OR(AND(D356&lt;&gt;"Yes",D356&lt;&gt;"No"),AND(E356&lt;&gt;"Yes",E356&lt;&gt;"No"),AND(F356&lt;&gt;"Yes",F356&lt;&gt;"No")),"Use Yes or No","OK")))))))</f>
      </c>
    </row>
    <row r="357">
      <c r="G357" s="4">
        <f>IF(A357="","",IF(COUNTIF(Venues!$A$2:$A$201,A357)=0,"Unknown venue code",IF(OR(B357="",D357="",E357="",F357=""),"Missing details",IF(LEN(B357)&gt;80,"Name too long",IF(COUNTIFS($A$2:$A$1001,A357,$B$2:$B$1001,B357)&gt;1,"Duplicate court name",IF(AND(C357&lt;&gt;"",C357&lt;&gt;"Hard",C357&lt;&gt;"Synthetic",C357&lt;&gt;"Other",C357&lt;&gt;"Not sure"),"Unknown surface",IF(OR(AND(D357&lt;&gt;"Yes",D357&lt;&gt;"No"),AND(E357&lt;&gt;"Yes",E357&lt;&gt;"No"),AND(F357&lt;&gt;"Yes",F357&lt;&gt;"No")),"Use Yes or No","OK")))))))</f>
      </c>
    </row>
    <row r="358">
      <c r="G358" s="4">
        <f>IF(A358="","",IF(COUNTIF(Venues!$A$2:$A$201,A358)=0,"Unknown venue code",IF(OR(B358="",D358="",E358="",F358=""),"Missing details",IF(LEN(B358)&gt;80,"Name too long",IF(COUNTIFS($A$2:$A$1001,A358,$B$2:$B$1001,B358)&gt;1,"Duplicate court name",IF(AND(C358&lt;&gt;"",C358&lt;&gt;"Hard",C358&lt;&gt;"Synthetic",C358&lt;&gt;"Other",C358&lt;&gt;"Not sure"),"Unknown surface",IF(OR(AND(D358&lt;&gt;"Yes",D358&lt;&gt;"No"),AND(E358&lt;&gt;"Yes",E358&lt;&gt;"No"),AND(F358&lt;&gt;"Yes",F358&lt;&gt;"No")),"Use Yes or No","OK")))))))</f>
      </c>
    </row>
    <row r="359">
      <c r="G359" s="4">
        <f>IF(A359="","",IF(COUNTIF(Venues!$A$2:$A$201,A359)=0,"Unknown venue code",IF(OR(B359="",D359="",E359="",F359=""),"Missing details",IF(LEN(B359)&gt;80,"Name too long",IF(COUNTIFS($A$2:$A$1001,A359,$B$2:$B$1001,B359)&gt;1,"Duplicate court name",IF(AND(C359&lt;&gt;"",C359&lt;&gt;"Hard",C359&lt;&gt;"Synthetic",C359&lt;&gt;"Other",C359&lt;&gt;"Not sure"),"Unknown surface",IF(OR(AND(D359&lt;&gt;"Yes",D359&lt;&gt;"No"),AND(E359&lt;&gt;"Yes",E359&lt;&gt;"No"),AND(F359&lt;&gt;"Yes",F359&lt;&gt;"No")),"Use Yes or No","OK")))))))</f>
      </c>
    </row>
    <row r="360">
      <c r="G360" s="4">
        <f>IF(A360="","",IF(COUNTIF(Venues!$A$2:$A$201,A360)=0,"Unknown venue code",IF(OR(B360="",D360="",E360="",F360=""),"Missing details",IF(LEN(B360)&gt;80,"Name too long",IF(COUNTIFS($A$2:$A$1001,A360,$B$2:$B$1001,B360)&gt;1,"Duplicate court name",IF(AND(C360&lt;&gt;"",C360&lt;&gt;"Hard",C360&lt;&gt;"Synthetic",C360&lt;&gt;"Other",C360&lt;&gt;"Not sure"),"Unknown surface",IF(OR(AND(D360&lt;&gt;"Yes",D360&lt;&gt;"No"),AND(E360&lt;&gt;"Yes",E360&lt;&gt;"No"),AND(F360&lt;&gt;"Yes",F360&lt;&gt;"No")),"Use Yes or No","OK")))))))</f>
      </c>
    </row>
    <row r="361">
      <c r="G361" s="4">
        <f>IF(A361="","",IF(COUNTIF(Venues!$A$2:$A$201,A361)=0,"Unknown venue code",IF(OR(B361="",D361="",E361="",F361=""),"Missing details",IF(LEN(B361)&gt;80,"Name too long",IF(COUNTIFS($A$2:$A$1001,A361,$B$2:$B$1001,B361)&gt;1,"Duplicate court name",IF(AND(C361&lt;&gt;"",C361&lt;&gt;"Hard",C361&lt;&gt;"Synthetic",C361&lt;&gt;"Other",C361&lt;&gt;"Not sure"),"Unknown surface",IF(OR(AND(D361&lt;&gt;"Yes",D361&lt;&gt;"No"),AND(E361&lt;&gt;"Yes",E361&lt;&gt;"No"),AND(F361&lt;&gt;"Yes",F361&lt;&gt;"No")),"Use Yes or No","OK")))))))</f>
      </c>
    </row>
    <row r="362">
      <c r="G362" s="4">
        <f>IF(A362="","",IF(COUNTIF(Venues!$A$2:$A$201,A362)=0,"Unknown venue code",IF(OR(B362="",D362="",E362="",F362=""),"Missing details",IF(LEN(B362)&gt;80,"Name too long",IF(COUNTIFS($A$2:$A$1001,A362,$B$2:$B$1001,B362)&gt;1,"Duplicate court name",IF(AND(C362&lt;&gt;"",C362&lt;&gt;"Hard",C362&lt;&gt;"Synthetic",C362&lt;&gt;"Other",C362&lt;&gt;"Not sure"),"Unknown surface",IF(OR(AND(D362&lt;&gt;"Yes",D362&lt;&gt;"No"),AND(E362&lt;&gt;"Yes",E362&lt;&gt;"No"),AND(F362&lt;&gt;"Yes",F362&lt;&gt;"No")),"Use Yes or No","OK")))))))</f>
      </c>
    </row>
    <row r="363">
      <c r="G363" s="4">
        <f>IF(A363="","",IF(COUNTIF(Venues!$A$2:$A$201,A363)=0,"Unknown venue code",IF(OR(B363="",D363="",E363="",F363=""),"Missing details",IF(LEN(B363)&gt;80,"Name too long",IF(COUNTIFS($A$2:$A$1001,A363,$B$2:$B$1001,B363)&gt;1,"Duplicate court name",IF(AND(C363&lt;&gt;"",C363&lt;&gt;"Hard",C363&lt;&gt;"Synthetic",C363&lt;&gt;"Other",C363&lt;&gt;"Not sure"),"Unknown surface",IF(OR(AND(D363&lt;&gt;"Yes",D363&lt;&gt;"No"),AND(E363&lt;&gt;"Yes",E363&lt;&gt;"No"),AND(F363&lt;&gt;"Yes",F363&lt;&gt;"No")),"Use Yes or No","OK")))))))</f>
      </c>
    </row>
    <row r="364">
      <c r="G364" s="4">
        <f>IF(A364="","",IF(COUNTIF(Venues!$A$2:$A$201,A364)=0,"Unknown venue code",IF(OR(B364="",D364="",E364="",F364=""),"Missing details",IF(LEN(B364)&gt;80,"Name too long",IF(COUNTIFS($A$2:$A$1001,A364,$B$2:$B$1001,B364)&gt;1,"Duplicate court name",IF(AND(C364&lt;&gt;"",C364&lt;&gt;"Hard",C364&lt;&gt;"Synthetic",C364&lt;&gt;"Other",C364&lt;&gt;"Not sure"),"Unknown surface",IF(OR(AND(D364&lt;&gt;"Yes",D364&lt;&gt;"No"),AND(E364&lt;&gt;"Yes",E364&lt;&gt;"No"),AND(F364&lt;&gt;"Yes",F364&lt;&gt;"No")),"Use Yes or No","OK")))))))</f>
      </c>
    </row>
    <row r="365">
      <c r="G365" s="4">
        <f>IF(A365="","",IF(COUNTIF(Venues!$A$2:$A$201,A365)=0,"Unknown venue code",IF(OR(B365="",D365="",E365="",F365=""),"Missing details",IF(LEN(B365)&gt;80,"Name too long",IF(COUNTIFS($A$2:$A$1001,A365,$B$2:$B$1001,B365)&gt;1,"Duplicate court name",IF(AND(C365&lt;&gt;"",C365&lt;&gt;"Hard",C365&lt;&gt;"Synthetic",C365&lt;&gt;"Other",C365&lt;&gt;"Not sure"),"Unknown surface",IF(OR(AND(D365&lt;&gt;"Yes",D365&lt;&gt;"No"),AND(E365&lt;&gt;"Yes",E365&lt;&gt;"No"),AND(F365&lt;&gt;"Yes",F365&lt;&gt;"No")),"Use Yes or No","OK")))))))</f>
      </c>
    </row>
    <row r="366">
      <c r="G366" s="4">
        <f>IF(A366="","",IF(COUNTIF(Venues!$A$2:$A$201,A366)=0,"Unknown venue code",IF(OR(B366="",D366="",E366="",F366=""),"Missing details",IF(LEN(B366)&gt;80,"Name too long",IF(COUNTIFS($A$2:$A$1001,A366,$B$2:$B$1001,B366)&gt;1,"Duplicate court name",IF(AND(C366&lt;&gt;"",C366&lt;&gt;"Hard",C366&lt;&gt;"Synthetic",C366&lt;&gt;"Other",C366&lt;&gt;"Not sure"),"Unknown surface",IF(OR(AND(D366&lt;&gt;"Yes",D366&lt;&gt;"No"),AND(E366&lt;&gt;"Yes",E366&lt;&gt;"No"),AND(F366&lt;&gt;"Yes",F366&lt;&gt;"No")),"Use Yes or No","OK")))))))</f>
      </c>
    </row>
    <row r="367">
      <c r="G367" s="4">
        <f>IF(A367="","",IF(COUNTIF(Venues!$A$2:$A$201,A367)=0,"Unknown venue code",IF(OR(B367="",D367="",E367="",F367=""),"Missing details",IF(LEN(B367)&gt;80,"Name too long",IF(COUNTIFS($A$2:$A$1001,A367,$B$2:$B$1001,B367)&gt;1,"Duplicate court name",IF(AND(C367&lt;&gt;"",C367&lt;&gt;"Hard",C367&lt;&gt;"Synthetic",C367&lt;&gt;"Other",C367&lt;&gt;"Not sure"),"Unknown surface",IF(OR(AND(D367&lt;&gt;"Yes",D367&lt;&gt;"No"),AND(E367&lt;&gt;"Yes",E367&lt;&gt;"No"),AND(F367&lt;&gt;"Yes",F367&lt;&gt;"No")),"Use Yes or No","OK")))))))</f>
      </c>
    </row>
    <row r="368">
      <c r="G368" s="4">
        <f>IF(A368="","",IF(COUNTIF(Venues!$A$2:$A$201,A368)=0,"Unknown venue code",IF(OR(B368="",D368="",E368="",F368=""),"Missing details",IF(LEN(B368)&gt;80,"Name too long",IF(COUNTIFS($A$2:$A$1001,A368,$B$2:$B$1001,B368)&gt;1,"Duplicate court name",IF(AND(C368&lt;&gt;"",C368&lt;&gt;"Hard",C368&lt;&gt;"Synthetic",C368&lt;&gt;"Other",C368&lt;&gt;"Not sure"),"Unknown surface",IF(OR(AND(D368&lt;&gt;"Yes",D368&lt;&gt;"No"),AND(E368&lt;&gt;"Yes",E368&lt;&gt;"No"),AND(F368&lt;&gt;"Yes",F368&lt;&gt;"No")),"Use Yes or No","OK")))))))</f>
      </c>
    </row>
    <row r="369">
      <c r="G369" s="4">
        <f>IF(A369="","",IF(COUNTIF(Venues!$A$2:$A$201,A369)=0,"Unknown venue code",IF(OR(B369="",D369="",E369="",F369=""),"Missing details",IF(LEN(B369)&gt;80,"Name too long",IF(COUNTIFS($A$2:$A$1001,A369,$B$2:$B$1001,B369)&gt;1,"Duplicate court name",IF(AND(C369&lt;&gt;"",C369&lt;&gt;"Hard",C369&lt;&gt;"Synthetic",C369&lt;&gt;"Other",C369&lt;&gt;"Not sure"),"Unknown surface",IF(OR(AND(D369&lt;&gt;"Yes",D369&lt;&gt;"No"),AND(E369&lt;&gt;"Yes",E369&lt;&gt;"No"),AND(F369&lt;&gt;"Yes",F369&lt;&gt;"No")),"Use Yes or No","OK")))))))</f>
      </c>
    </row>
    <row r="370">
      <c r="G370" s="4">
        <f>IF(A370="","",IF(COUNTIF(Venues!$A$2:$A$201,A370)=0,"Unknown venue code",IF(OR(B370="",D370="",E370="",F370=""),"Missing details",IF(LEN(B370)&gt;80,"Name too long",IF(COUNTIFS($A$2:$A$1001,A370,$B$2:$B$1001,B370)&gt;1,"Duplicate court name",IF(AND(C370&lt;&gt;"",C370&lt;&gt;"Hard",C370&lt;&gt;"Synthetic",C370&lt;&gt;"Other",C370&lt;&gt;"Not sure"),"Unknown surface",IF(OR(AND(D370&lt;&gt;"Yes",D370&lt;&gt;"No"),AND(E370&lt;&gt;"Yes",E370&lt;&gt;"No"),AND(F370&lt;&gt;"Yes",F370&lt;&gt;"No")),"Use Yes or No","OK")))))))</f>
      </c>
    </row>
    <row r="371">
      <c r="G371" s="4">
        <f>IF(A371="","",IF(COUNTIF(Venues!$A$2:$A$201,A371)=0,"Unknown venue code",IF(OR(B371="",D371="",E371="",F371=""),"Missing details",IF(LEN(B371)&gt;80,"Name too long",IF(COUNTIFS($A$2:$A$1001,A371,$B$2:$B$1001,B371)&gt;1,"Duplicate court name",IF(AND(C371&lt;&gt;"",C371&lt;&gt;"Hard",C371&lt;&gt;"Synthetic",C371&lt;&gt;"Other",C371&lt;&gt;"Not sure"),"Unknown surface",IF(OR(AND(D371&lt;&gt;"Yes",D371&lt;&gt;"No"),AND(E371&lt;&gt;"Yes",E371&lt;&gt;"No"),AND(F371&lt;&gt;"Yes",F371&lt;&gt;"No")),"Use Yes or No","OK")))))))</f>
      </c>
    </row>
    <row r="372">
      <c r="G372" s="4">
        <f>IF(A372="","",IF(COUNTIF(Venues!$A$2:$A$201,A372)=0,"Unknown venue code",IF(OR(B372="",D372="",E372="",F372=""),"Missing details",IF(LEN(B372)&gt;80,"Name too long",IF(COUNTIFS($A$2:$A$1001,A372,$B$2:$B$1001,B372)&gt;1,"Duplicate court name",IF(AND(C372&lt;&gt;"",C372&lt;&gt;"Hard",C372&lt;&gt;"Synthetic",C372&lt;&gt;"Other",C372&lt;&gt;"Not sure"),"Unknown surface",IF(OR(AND(D372&lt;&gt;"Yes",D372&lt;&gt;"No"),AND(E372&lt;&gt;"Yes",E372&lt;&gt;"No"),AND(F372&lt;&gt;"Yes",F372&lt;&gt;"No")),"Use Yes or No","OK")))))))</f>
      </c>
    </row>
    <row r="373">
      <c r="G373" s="4">
        <f>IF(A373="","",IF(COUNTIF(Venues!$A$2:$A$201,A373)=0,"Unknown venue code",IF(OR(B373="",D373="",E373="",F373=""),"Missing details",IF(LEN(B373)&gt;80,"Name too long",IF(COUNTIFS($A$2:$A$1001,A373,$B$2:$B$1001,B373)&gt;1,"Duplicate court name",IF(AND(C373&lt;&gt;"",C373&lt;&gt;"Hard",C373&lt;&gt;"Synthetic",C373&lt;&gt;"Other",C373&lt;&gt;"Not sure"),"Unknown surface",IF(OR(AND(D373&lt;&gt;"Yes",D373&lt;&gt;"No"),AND(E373&lt;&gt;"Yes",E373&lt;&gt;"No"),AND(F373&lt;&gt;"Yes",F373&lt;&gt;"No")),"Use Yes or No","OK")))))))</f>
      </c>
    </row>
    <row r="374">
      <c r="G374" s="4">
        <f>IF(A374="","",IF(COUNTIF(Venues!$A$2:$A$201,A374)=0,"Unknown venue code",IF(OR(B374="",D374="",E374="",F374=""),"Missing details",IF(LEN(B374)&gt;80,"Name too long",IF(COUNTIFS($A$2:$A$1001,A374,$B$2:$B$1001,B374)&gt;1,"Duplicate court name",IF(AND(C374&lt;&gt;"",C374&lt;&gt;"Hard",C374&lt;&gt;"Synthetic",C374&lt;&gt;"Other",C374&lt;&gt;"Not sure"),"Unknown surface",IF(OR(AND(D374&lt;&gt;"Yes",D374&lt;&gt;"No"),AND(E374&lt;&gt;"Yes",E374&lt;&gt;"No"),AND(F374&lt;&gt;"Yes",F374&lt;&gt;"No")),"Use Yes or No","OK")))))))</f>
      </c>
    </row>
    <row r="375">
      <c r="G375" s="4">
        <f>IF(A375="","",IF(COUNTIF(Venues!$A$2:$A$201,A375)=0,"Unknown venue code",IF(OR(B375="",D375="",E375="",F375=""),"Missing details",IF(LEN(B375)&gt;80,"Name too long",IF(COUNTIFS($A$2:$A$1001,A375,$B$2:$B$1001,B375)&gt;1,"Duplicate court name",IF(AND(C375&lt;&gt;"",C375&lt;&gt;"Hard",C375&lt;&gt;"Synthetic",C375&lt;&gt;"Other",C375&lt;&gt;"Not sure"),"Unknown surface",IF(OR(AND(D375&lt;&gt;"Yes",D375&lt;&gt;"No"),AND(E375&lt;&gt;"Yes",E375&lt;&gt;"No"),AND(F375&lt;&gt;"Yes",F375&lt;&gt;"No")),"Use Yes or No","OK")))))))</f>
      </c>
    </row>
    <row r="376">
      <c r="G376" s="4">
        <f>IF(A376="","",IF(COUNTIF(Venues!$A$2:$A$201,A376)=0,"Unknown venue code",IF(OR(B376="",D376="",E376="",F376=""),"Missing details",IF(LEN(B376)&gt;80,"Name too long",IF(COUNTIFS($A$2:$A$1001,A376,$B$2:$B$1001,B376)&gt;1,"Duplicate court name",IF(AND(C376&lt;&gt;"",C376&lt;&gt;"Hard",C376&lt;&gt;"Synthetic",C376&lt;&gt;"Other",C376&lt;&gt;"Not sure"),"Unknown surface",IF(OR(AND(D376&lt;&gt;"Yes",D376&lt;&gt;"No"),AND(E376&lt;&gt;"Yes",E376&lt;&gt;"No"),AND(F376&lt;&gt;"Yes",F376&lt;&gt;"No")),"Use Yes or No","OK")))))))</f>
      </c>
    </row>
    <row r="377">
      <c r="G377" s="4">
        <f>IF(A377="","",IF(COUNTIF(Venues!$A$2:$A$201,A377)=0,"Unknown venue code",IF(OR(B377="",D377="",E377="",F377=""),"Missing details",IF(LEN(B377)&gt;80,"Name too long",IF(COUNTIFS($A$2:$A$1001,A377,$B$2:$B$1001,B377)&gt;1,"Duplicate court name",IF(AND(C377&lt;&gt;"",C377&lt;&gt;"Hard",C377&lt;&gt;"Synthetic",C377&lt;&gt;"Other",C377&lt;&gt;"Not sure"),"Unknown surface",IF(OR(AND(D377&lt;&gt;"Yes",D377&lt;&gt;"No"),AND(E377&lt;&gt;"Yes",E377&lt;&gt;"No"),AND(F377&lt;&gt;"Yes",F377&lt;&gt;"No")),"Use Yes or No","OK")))))))</f>
      </c>
    </row>
    <row r="378">
      <c r="G378" s="4">
        <f>IF(A378="","",IF(COUNTIF(Venues!$A$2:$A$201,A378)=0,"Unknown venue code",IF(OR(B378="",D378="",E378="",F378=""),"Missing details",IF(LEN(B378)&gt;80,"Name too long",IF(COUNTIFS($A$2:$A$1001,A378,$B$2:$B$1001,B378)&gt;1,"Duplicate court name",IF(AND(C378&lt;&gt;"",C378&lt;&gt;"Hard",C378&lt;&gt;"Synthetic",C378&lt;&gt;"Other",C378&lt;&gt;"Not sure"),"Unknown surface",IF(OR(AND(D378&lt;&gt;"Yes",D378&lt;&gt;"No"),AND(E378&lt;&gt;"Yes",E378&lt;&gt;"No"),AND(F378&lt;&gt;"Yes",F378&lt;&gt;"No")),"Use Yes or No","OK")))))))</f>
      </c>
    </row>
    <row r="379">
      <c r="G379" s="4">
        <f>IF(A379="","",IF(COUNTIF(Venues!$A$2:$A$201,A379)=0,"Unknown venue code",IF(OR(B379="",D379="",E379="",F379=""),"Missing details",IF(LEN(B379)&gt;80,"Name too long",IF(COUNTIFS($A$2:$A$1001,A379,$B$2:$B$1001,B379)&gt;1,"Duplicate court name",IF(AND(C379&lt;&gt;"",C379&lt;&gt;"Hard",C379&lt;&gt;"Synthetic",C379&lt;&gt;"Other",C379&lt;&gt;"Not sure"),"Unknown surface",IF(OR(AND(D379&lt;&gt;"Yes",D379&lt;&gt;"No"),AND(E379&lt;&gt;"Yes",E379&lt;&gt;"No"),AND(F379&lt;&gt;"Yes",F379&lt;&gt;"No")),"Use Yes or No","OK")))))))</f>
      </c>
    </row>
    <row r="380">
      <c r="G380" s="4">
        <f>IF(A380="","",IF(COUNTIF(Venues!$A$2:$A$201,A380)=0,"Unknown venue code",IF(OR(B380="",D380="",E380="",F380=""),"Missing details",IF(LEN(B380)&gt;80,"Name too long",IF(COUNTIFS($A$2:$A$1001,A380,$B$2:$B$1001,B380)&gt;1,"Duplicate court name",IF(AND(C380&lt;&gt;"",C380&lt;&gt;"Hard",C380&lt;&gt;"Synthetic",C380&lt;&gt;"Other",C380&lt;&gt;"Not sure"),"Unknown surface",IF(OR(AND(D380&lt;&gt;"Yes",D380&lt;&gt;"No"),AND(E380&lt;&gt;"Yes",E380&lt;&gt;"No"),AND(F380&lt;&gt;"Yes",F380&lt;&gt;"No")),"Use Yes or No","OK")))))))</f>
      </c>
    </row>
    <row r="381">
      <c r="G381" s="4">
        <f>IF(A381="","",IF(COUNTIF(Venues!$A$2:$A$201,A381)=0,"Unknown venue code",IF(OR(B381="",D381="",E381="",F381=""),"Missing details",IF(LEN(B381)&gt;80,"Name too long",IF(COUNTIFS($A$2:$A$1001,A381,$B$2:$B$1001,B381)&gt;1,"Duplicate court name",IF(AND(C381&lt;&gt;"",C381&lt;&gt;"Hard",C381&lt;&gt;"Synthetic",C381&lt;&gt;"Other",C381&lt;&gt;"Not sure"),"Unknown surface",IF(OR(AND(D381&lt;&gt;"Yes",D381&lt;&gt;"No"),AND(E381&lt;&gt;"Yes",E381&lt;&gt;"No"),AND(F381&lt;&gt;"Yes",F381&lt;&gt;"No")),"Use Yes or No","OK")))))))</f>
      </c>
    </row>
    <row r="382">
      <c r="G382" s="4">
        <f>IF(A382="","",IF(COUNTIF(Venues!$A$2:$A$201,A382)=0,"Unknown venue code",IF(OR(B382="",D382="",E382="",F382=""),"Missing details",IF(LEN(B382)&gt;80,"Name too long",IF(COUNTIFS($A$2:$A$1001,A382,$B$2:$B$1001,B382)&gt;1,"Duplicate court name",IF(AND(C382&lt;&gt;"",C382&lt;&gt;"Hard",C382&lt;&gt;"Synthetic",C382&lt;&gt;"Other",C382&lt;&gt;"Not sure"),"Unknown surface",IF(OR(AND(D382&lt;&gt;"Yes",D382&lt;&gt;"No"),AND(E382&lt;&gt;"Yes",E382&lt;&gt;"No"),AND(F382&lt;&gt;"Yes",F382&lt;&gt;"No")),"Use Yes or No","OK")))))))</f>
      </c>
    </row>
    <row r="383">
      <c r="G383" s="4">
        <f>IF(A383="","",IF(COUNTIF(Venues!$A$2:$A$201,A383)=0,"Unknown venue code",IF(OR(B383="",D383="",E383="",F383=""),"Missing details",IF(LEN(B383)&gt;80,"Name too long",IF(COUNTIFS($A$2:$A$1001,A383,$B$2:$B$1001,B383)&gt;1,"Duplicate court name",IF(AND(C383&lt;&gt;"",C383&lt;&gt;"Hard",C383&lt;&gt;"Synthetic",C383&lt;&gt;"Other",C383&lt;&gt;"Not sure"),"Unknown surface",IF(OR(AND(D383&lt;&gt;"Yes",D383&lt;&gt;"No"),AND(E383&lt;&gt;"Yes",E383&lt;&gt;"No"),AND(F383&lt;&gt;"Yes",F383&lt;&gt;"No")),"Use Yes or No","OK")))))))</f>
      </c>
    </row>
    <row r="384">
      <c r="G384" s="4">
        <f>IF(A384="","",IF(COUNTIF(Venues!$A$2:$A$201,A384)=0,"Unknown venue code",IF(OR(B384="",D384="",E384="",F384=""),"Missing details",IF(LEN(B384)&gt;80,"Name too long",IF(COUNTIFS($A$2:$A$1001,A384,$B$2:$B$1001,B384)&gt;1,"Duplicate court name",IF(AND(C384&lt;&gt;"",C384&lt;&gt;"Hard",C384&lt;&gt;"Synthetic",C384&lt;&gt;"Other",C384&lt;&gt;"Not sure"),"Unknown surface",IF(OR(AND(D384&lt;&gt;"Yes",D384&lt;&gt;"No"),AND(E384&lt;&gt;"Yes",E384&lt;&gt;"No"),AND(F384&lt;&gt;"Yes",F384&lt;&gt;"No")),"Use Yes or No","OK")))))))</f>
      </c>
    </row>
    <row r="385">
      <c r="G385" s="4">
        <f>IF(A385="","",IF(COUNTIF(Venues!$A$2:$A$201,A385)=0,"Unknown venue code",IF(OR(B385="",D385="",E385="",F385=""),"Missing details",IF(LEN(B385)&gt;80,"Name too long",IF(COUNTIFS($A$2:$A$1001,A385,$B$2:$B$1001,B385)&gt;1,"Duplicate court name",IF(AND(C385&lt;&gt;"",C385&lt;&gt;"Hard",C385&lt;&gt;"Synthetic",C385&lt;&gt;"Other",C385&lt;&gt;"Not sure"),"Unknown surface",IF(OR(AND(D385&lt;&gt;"Yes",D385&lt;&gt;"No"),AND(E385&lt;&gt;"Yes",E385&lt;&gt;"No"),AND(F385&lt;&gt;"Yes",F385&lt;&gt;"No")),"Use Yes or No","OK")))))))</f>
      </c>
    </row>
    <row r="386">
      <c r="G386" s="4">
        <f>IF(A386="","",IF(COUNTIF(Venues!$A$2:$A$201,A386)=0,"Unknown venue code",IF(OR(B386="",D386="",E386="",F386=""),"Missing details",IF(LEN(B386)&gt;80,"Name too long",IF(COUNTIFS($A$2:$A$1001,A386,$B$2:$B$1001,B386)&gt;1,"Duplicate court name",IF(AND(C386&lt;&gt;"",C386&lt;&gt;"Hard",C386&lt;&gt;"Synthetic",C386&lt;&gt;"Other",C386&lt;&gt;"Not sure"),"Unknown surface",IF(OR(AND(D386&lt;&gt;"Yes",D386&lt;&gt;"No"),AND(E386&lt;&gt;"Yes",E386&lt;&gt;"No"),AND(F386&lt;&gt;"Yes",F386&lt;&gt;"No")),"Use Yes or No","OK")))))))</f>
      </c>
    </row>
    <row r="387">
      <c r="G387" s="4">
        <f>IF(A387="","",IF(COUNTIF(Venues!$A$2:$A$201,A387)=0,"Unknown venue code",IF(OR(B387="",D387="",E387="",F387=""),"Missing details",IF(LEN(B387)&gt;80,"Name too long",IF(COUNTIFS($A$2:$A$1001,A387,$B$2:$B$1001,B387)&gt;1,"Duplicate court name",IF(AND(C387&lt;&gt;"",C387&lt;&gt;"Hard",C387&lt;&gt;"Synthetic",C387&lt;&gt;"Other",C387&lt;&gt;"Not sure"),"Unknown surface",IF(OR(AND(D387&lt;&gt;"Yes",D387&lt;&gt;"No"),AND(E387&lt;&gt;"Yes",E387&lt;&gt;"No"),AND(F387&lt;&gt;"Yes",F387&lt;&gt;"No")),"Use Yes or No","OK")))))))</f>
      </c>
    </row>
    <row r="388">
      <c r="G388" s="4">
        <f>IF(A388="","",IF(COUNTIF(Venues!$A$2:$A$201,A388)=0,"Unknown venue code",IF(OR(B388="",D388="",E388="",F388=""),"Missing details",IF(LEN(B388)&gt;80,"Name too long",IF(COUNTIFS($A$2:$A$1001,A388,$B$2:$B$1001,B388)&gt;1,"Duplicate court name",IF(AND(C388&lt;&gt;"",C388&lt;&gt;"Hard",C388&lt;&gt;"Synthetic",C388&lt;&gt;"Other",C388&lt;&gt;"Not sure"),"Unknown surface",IF(OR(AND(D388&lt;&gt;"Yes",D388&lt;&gt;"No"),AND(E388&lt;&gt;"Yes",E388&lt;&gt;"No"),AND(F388&lt;&gt;"Yes",F388&lt;&gt;"No")),"Use Yes or No","OK")))))))</f>
      </c>
    </row>
    <row r="389">
      <c r="G389" s="4">
        <f>IF(A389="","",IF(COUNTIF(Venues!$A$2:$A$201,A389)=0,"Unknown venue code",IF(OR(B389="",D389="",E389="",F389=""),"Missing details",IF(LEN(B389)&gt;80,"Name too long",IF(COUNTIFS($A$2:$A$1001,A389,$B$2:$B$1001,B389)&gt;1,"Duplicate court name",IF(AND(C389&lt;&gt;"",C389&lt;&gt;"Hard",C389&lt;&gt;"Synthetic",C389&lt;&gt;"Other",C389&lt;&gt;"Not sure"),"Unknown surface",IF(OR(AND(D389&lt;&gt;"Yes",D389&lt;&gt;"No"),AND(E389&lt;&gt;"Yes",E389&lt;&gt;"No"),AND(F389&lt;&gt;"Yes",F389&lt;&gt;"No")),"Use Yes or No","OK")))))))</f>
      </c>
    </row>
    <row r="390">
      <c r="G390" s="4">
        <f>IF(A390="","",IF(COUNTIF(Venues!$A$2:$A$201,A390)=0,"Unknown venue code",IF(OR(B390="",D390="",E390="",F390=""),"Missing details",IF(LEN(B390)&gt;80,"Name too long",IF(COUNTIFS($A$2:$A$1001,A390,$B$2:$B$1001,B390)&gt;1,"Duplicate court name",IF(AND(C390&lt;&gt;"",C390&lt;&gt;"Hard",C390&lt;&gt;"Synthetic",C390&lt;&gt;"Other",C390&lt;&gt;"Not sure"),"Unknown surface",IF(OR(AND(D390&lt;&gt;"Yes",D390&lt;&gt;"No"),AND(E390&lt;&gt;"Yes",E390&lt;&gt;"No"),AND(F390&lt;&gt;"Yes",F390&lt;&gt;"No")),"Use Yes or No","OK")))))))</f>
      </c>
    </row>
    <row r="391">
      <c r="G391" s="4">
        <f>IF(A391="","",IF(COUNTIF(Venues!$A$2:$A$201,A391)=0,"Unknown venue code",IF(OR(B391="",D391="",E391="",F391=""),"Missing details",IF(LEN(B391)&gt;80,"Name too long",IF(COUNTIFS($A$2:$A$1001,A391,$B$2:$B$1001,B391)&gt;1,"Duplicate court name",IF(AND(C391&lt;&gt;"",C391&lt;&gt;"Hard",C391&lt;&gt;"Synthetic",C391&lt;&gt;"Other",C391&lt;&gt;"Not sure"),"Unknown surface",IF(OR(AND(D391&lt;&gt;"Yes",D391&lt;&gt;"No"),AND(E391&lt;&gt;"Yes",E391&lt;&gt;"No"),AND(F391&lt;&gt;"Yes",F391&lt;&gt;"No")),"Use Yes or No","OK")))))))</f>
      </c>
    </row>
    <row r="392">
      <c r="G392" s="4">
        <f>IF(A392="","",IF(COUNTIF(Venues!$A$2:$A$201,A392)=0,"Unknown venue code",IF(OR(B392="",D392="",E392="",F392=""),"Missing details",IF(LEN(B392)&gt;80,"Name too long",IF(COUNTIFS($A$2:$A$1001,A392,$B$2:$B$1001,B392)&gt;1,"Duplicate court name",IF(AND(C392&lt;&gt;"",C392&lt;&gt;"Hard",C392&lt;&gt;"Synthetic",C392&lt;&gt;"Other",C392&lt;&gt;"Not sure"),"Unknown surface",IF(OR(AND(D392&lt;&gt;"Yes",D392&lt;&gt;"No"),AND(E392&lt;&gt;"Yes",E392&lt;&gt;"No"),AND(F392&lt;&gt;"Yes",F392&lt;&gt;"No")),"Use Yes or No","OK")))))))</f>
      </c>
    </row>
    <row r="393">
      <c r="G393" s="4">
        <f>IF(A393="","",IF(COUNTIF(Venues!$A$2:$A$201,A393)=0,"Unknown venue code",IF(OR(B393="",D393="",E393="",F393=""),"Missing details",IF(LEN(B393)&gt;80,"Name too long",IF(COUNTIFS($A$2:$A$1001,A393,$B$2:$B$1001,B393)&gt;1,"Duplicate court name",IF(AND(C393&lt;&gt;"",C393&lt;&gt;"Hard",C393&lt;&gt;"Synthetic",C393&lt;&gt;"Other",C393&lt;&gt;"Not sure"),"Unknown surface",IF(OR(AND(D393&lt;&gt;"Yes",D393&lt;&gt;"No"),AND(E393&lt;&gt;"Yes",E393&lt;&gt;"No"),AND(F393&lt;&gt;"Yes",F393&lt;&gt;"No")),"Use Yes or No","OK")))))))</f>
      </c>
    </row>
    <row r="394">
      <c r="G394" s="4">
        <f>IF(A394="","",IF(COUNTIF(Venues!$A$2:$A$201,A394)=0,"Unknown venue code",IF(OR(B394="",D394="",E394="",F394=""),"Missing details",IF(LEN(B394)&gt;80,"Name too long",IF(COUNTIFS($A$2:$A$1001,A394,$B$2:$B$1001,B394)&gt;1,"Duplicate court name",IF(AND(C394&lt;&gt;"",C394&lt;&gt;"Hard",C394&lt;&gt;"Synthetic",C394&lt;&gt;"Other",C394&lt;&gt;"Not sure"),"Unknown surface",IF(OR(AND(D394&lt;&gt;"Yes",D394&lt;&gt;"No"),AND(E394&lt;&gt;"Yes",E394&lt;&gt;"No"),AND(F394&lt;&gt;"Yes",F394&lt;&gt;"No")),"Use Yes or No","OK")))))))</f>
      </c>
    </row>
    <row r="395">
      <c r="G395" s="4">
        <f>IF(A395="","",IF(COUNTIF(Venues!$A$2:$A$201,A395)=0,"Unknown venue code",IF(OR(B395="",D395="",E395="",F395=""),"Missing details",IF(LEN(B395)&gt;80,"Name too long",IF(COUNTIFS($A$2:$A$1001,A395,$B$2:$B$1001,B395)&gt;1,"Duplicate court name",IF(AND(C395&lt;&gt;"",C395&lt;&gt;"Hard",C395&lt;&gt;"Synthetic",C395&lt;&gt;"Other",C395&lt;&gt;"Not sure"),"Unknown surface",IF(OR(AND(D395&lt;&gt;"Yes",D395&lt;&gt;"No"),AND(E395&lt;&gt;"Yes",E395&lt;&gt;"No"),AND(F395&lt;&gt;"Yes",F395&lt;&gt;"No")),"Use Yes or No","OK")))))))</f>
      </c>
    </row>
    <row r="396">
      <c r="G396" s="4">
        <f>IF(A396="","",IF(COUNTIF(Venues!$A$2:$A$201,A396)=0,"Unknown venue code",IF(OR(B396="",D396="",E396="",F396=""),"Missing details",IF(LEN(B396)&gt;80,"Name too long",IF(COUNTIFS($A$2:$A$1001,A396,$B$2:$B$1001,B396)&gt;1,"Duplicate court name",IF(AND(C396&lt;&gt;"",C396&lt;&gt;"Hard",C396&lt;&gt;"Synthetic",C396&lt;&gt;"Other",C396&lt;&gt;"Not sure"),"Unknown surface",IF(OR(AND(D396&lt;&gt;"Yes",D396&lt;&gt;"No"),AND(E396&lt;&gt;"Yes",E396&lt;&gt;"No"),AND(F396&lt;&gt;"Yes",F396&lt;&gt;"No")),"Use Yes or No","OK")))))))</f>
      </c>
    </row>
    <row r="397">
      <c r="G397" s="4">
        <f>IF(A397="","",IF(COUNTIF(Venues!$A$2:$A$201,A397)=0,"Unknown venue code",IF(OR(B397="",D397="",E397="",F397=""),"Missing details",IF(LEN(B397)&gt;80,"Name too long",IF(COUNTIFS($A$2:$A$1001,A397,$B$2:$B$1001,B397)&gt;1,"Duplicate court name",IF(AND(C397&lt;&gt;"",C397&lt;&gt;"Hard",C397&lt;&gt;"Synthetic",C397&lt;&gt;"Other",C397&lt;&gt;"Not sure"),"Unknown surface",IF(OR(AND(D397&lt;&gt;"Yes",D397&lt;&gt;"No"),AND(E397&lt;&gt;"Yes",E397&lt;&gt;"No"),AND(F397&lt;&gt;"Yes",F397&lt;&gt;"No")),"Use Yes or No","OK")))))))</f>
      </c>
    </row>
    <row r="398">
      <c r="G398" s="4">
        <f>IF(A398="","",IF(COUNTIF(Venues!$A$2:$A$201,A398)=0,"Unknown venue code",IF(OR(B398="",D398="",E398="",F398=""),"Missing details",IF(LEN(B398)&gt;80,"Name too long",IF(COUNTIFS($A$2:$A$1001,A398,$B$2:$B$1001,B398)&gt;1,"Duplicate court name",IF(AND(C398&lt;&gt;"",C398&lt;&gt;"Hard",C398&lt;&gt;"Synthetic",C398&lt;&gt;"Other",C398&lt;&gt;"Not sure"),"Unknown surface",IF(OR(AND(D398&lt;&gt;"Yes",D398&lt;&gt;"No"),AND(E398&lt;&gt;"Yes",E398&lt;&gt;"No"),AND(F398&lt;&gt;"Yes",F398&lt;&gt;"No")),"Use Yes or No","OK")))))))</f>
      </c>
    </row>
    <row r="399">
      <c r="G399" s="4">
        <f>IF(A399="","",IF(COUNTIF(Venues!$A$2:$A$201,A399)=0,"Unknown venue code",IF(OR(B399="",D399="",E399="",F399=""),"Missing details",IF(LEN(B399)&gt;80,"Name too long",IF(COUNTIFS($A$2:$A$1001,A399,$B$2:$B$1001,B399)&gt;1,"Duplicate court name",IF(AND(C399&lt;&gt;"",C399&lt;&gt;"Hard",C399&lt;&gt;"Synthetic",C399&lt;&gt;"Other",C399&lt;&gt;"Not sure"),"Unknown surface",IF(OR(AND(D399&lt;&gt;"Yes",D399&lt;&gt;"No"),AND(E399&lt;&gt;"Yes",E399&lt;&gt;"No"),AND(F399&lt;&gt;"Yes",F399&lt;&gt;"No")),"Use Yes or No","OK")))))))</f>
      </c>
    </row>
    <row r="400">
      <c r="G400" s="4">
        <f>IF(A400="","",IF(COUNTIF(Venues!$A$2:$A$201,A400)=0,"Unknown venue code",IF(OR(B400="",D400="",E400="",F400=""),"Missing details",IF(LEN(B400)&gt;80,"Name too long",IF(COUNTIFS($A$2:$A$1001,A400,$B$2:$B$1001,B400)&gt;1,"Duplicate court name",IF(AND(C400&lt;&gt;"",C400&lt;&gt;"Hard",C400&lt;&gt;"Synthetic",C400&lt;&gt;"Other",C400&lt;&gt;"Not sure"),"Unknown surface",IF(OR(AND(D400&lt;&gt;"Yes",D400&lt;&gt;"No"),AND(E400&lt;&gt;"Yes",E400&lt;&gt;"No"),AND(F400&lt;&gt;"Yes",F400&lt;&gt;"No")),"Use Yes or No","OK")))))))</f>
      </c>
    </row>
    <row r="401">
      <c r="G401" s="4">
        <f>IF(A401="","",IF(COUNTIF(Venues!$A$2:$A$201,A401)=0,"Unknown venue code",IF(OR(B401="",D401="",E401="",F401=""),"Missing details",IF(LEN(B401)&gt;80,"Name too long",IF(COUNTIFS($A$2:$A$1001,A401,$B$2:$B$1001,B401)&gt;1,"Duplicate court name",IF(AND(C401&lt;&gt;"",C401&lt;&gt;"Hard",C401&lt;&gt;"Synthetic",C401&lt;&gt;"Other",C401&lt;&gt;"Not sure"),"Unknown surface",IF(OR(AND(D401&lt;&gt;"Yes",D401&lt;&gt;"No"),AND(E401&lt;&gt;"Yes",E401&lt;&gt;"No"),AND(F401&lt;&gt;"Yes",F401&lt;&gt;"No")),"Use Yes or No","OK")))))))</f>
      </c>
    </row>
    <row r="402">
      <c r="G402" s="4">
        <f>IF(A402="","",IF(COUNTIF(Venues!$A$2:$A$201,A402)=0,"Unknown venue code",IF(OR(B402="",D402="",E402="",F402=""),"Missing details",IF(LEN(B402)&gt;80,"Name too long",IF(COUNTIFS($A$2:$A$1001,A402,$B$2:$B$1001,B402)&gt;1,"Duplicate court name",IF(AND(C402&lt;&gt;"",C402&lt;&gt;"Hard",C402&lt;&gt;"Synthetic",C402&lt;&gt;"Other",C402&lt;&gt;"Not sure"),"Unknown surface",IF(OR(AND(D402&lt;&gt;"Yes",D402&lt;&gt;"No"),AND(E402&lt;&gt;"Yes",E402&lt;&gt;"No"),AND(F402&lt;&gt;"Yes",F402&lt;&gt;"No")),"Use Yes or No","OK")))))))</f>
      </c>
    </row>
    <row r="403">
      <c r="G403" s="4">
        <f>IF(A403="","",IF(COUNTIF(Venues!$A$2:$A$201,A403)=0,"Unknown venue code",IF(OR(B403="",D403="",E403="",F403=""),"Missing details",IF(LEN(B403)&gt;80,"Name too long",IF(COUNTIFS($A$2:$A$1001,A403,$B$2:$B$1001,B403)&gt;1,"Duplicate court name",IF(AND(C403&lt;&gt;"",C403&lt;&gt;"Hard",C403&lt;&gt;"Synthetic",C403&lt;&gt;"Other",C403&lt;&gt;"Not sure"),"Unknown surface",IF(OR(AND(D403&lt;&gt;"Yes",D403&lt;&gt;"No"),AND(E403&lt;&gt;"Yes",E403&lt;&gt;"No"),AND(F403&lt;&gt;"Yes",F403&lt;&gt;"No")),"Use Yes or No","OK")))))))</f>
      </c>
    </row>
    <row r="404">
      <c r="G404" s="4">
        <f>IF(A404="","",IF(COUNTIF(Venues!$A$2:$A$201,A404)=0,"Unknown venue code",IF(OR(B404="",D404="",E404="",F404=""),"Missing details",IF(LEN(B404)&gt;80,"Name too long",IF(COUNTIFS($A$2:$A$1001,A404,$B$2:$B$1001,B404)&gt;1,"Duplicate court name",IF(AND(C404&lt;&gt;"",C404&lt;&gt;"Hard",C404&lt;&gt;"Synthetic",C404&lt;&gt;"Other",C404&lt;&gt;"Not sure"),"Unknown surface",IF(OR(AND(D404&lt;&gt;"Yes",D404&lt;&gt;"No"),AND(E404&lt;&gt;"Yes",E404&lt;&gt;"No"),AND(F404&lt;&gt;"Yes",F404&lt;&gt;"No")),"Use Yes or No","OK")))))))</f>
      </c>
    </row>
    <row r="405">
      <c r="G405" s="4">
        <f>IF(A405="","",IF(COUNTIF(Venues!$A$2:$A$201,A405)=0,"Unknown venue code",IF(OR(B405="",D405="",E405="",F405=""),"Missing details",IF(LEN(B405)&gt;80,"Name too long",IF(COUNTIFS($A$2:$A$1001,A405,$B$2:$B$1001,B405)&gt;1,"Duplicate court name",IF(AND(C405&lt;&gt;"",C405&lt;&gt;"Hard",C405&lt;&gt;"Synthetic",C405&lt;&gt;"Other",C405&lt;&gt;"Not sure"),"Unknown surface",IF(OR(AND(D405&lt;&gt;"Yes",D405&lt;&gt;"No"),AND(E405&lt;&gt;"Yes",E405&lt;&gt;"No"),AND(F405&lt;&gt;"Yes",F405&lt;&gt;"No")),"Use Yes or No","OK")))))))</f>
      </c>
    </row>
    <row r="406">
      <c r="G406" s="4">
        <f>IF(A406="","",IF(COUNTIF(Venues!$A$2:$A$201,A406)=0,"Unknown venue code",IF(OR(B406="",D406="",E406="",F406=""),"Missing details",IF(LEN(B406)&gt;80,"Name too long",IF(COUNTIFS($A$2:$A$1001,A406,$B$2:$B$1001,B406)&gt;1,"Duplicate court name",IF(AND(C406&lt;&gt;"",C406&lt;&gt;"Hard",C406&lt;&gt;"Synthetic",C406&lt;&gt;"Other",C406&lt;&gt;"Not sure"),"Unknown surface",IF(OR(AND(D406&lt;&gt;"Yes",D406&lt;&gt;"No"),AND(E406&lt;&gt;"Yes",E406&lt;&gt;"No"),AND(F406&lt;&gt;"Yes",F406&lt;&gt;"No")),"Use Yes or No","OK")))))))</f>
      </c>
    </row>
    <row r="407">
      <c r="G407" s="4">
        <f>IF(A407="","",IF(COUNTIF(Venues!$A$2:$A$201,A407)=0,"Unknown venue code",IF(OR(B407="",D407="",E407="",F407=""),"Missing details",IF(LEN(B407)&gt;80,"Name too long",IF(COUNTIFS($A$2:$A$1001,A407,$B$2:$B$1001,B407)&gt;1,"Duplicate court name",IF(AND(C407&lt;&gt;"",C407&lt;&gt;"Hard",C407&lt;&gt;"Synthetic",C407&lt;&gt;"Other",C407&lt;&gt;"Not sure"),"Unknown surface",IF(OR(AND(D407&lt;&gt;"Yes",D407&lt;&gt;"No"),AND(E407&lt;&gt;"Yes",E407&lt;&gt;"No"),AND(F407&lt;&gt;"Yes",F407&lt;&gt;"No")),"Use Yes or No","OK")))))))</f>
      </c>
    </row>
    <row r="408">
      <c r="G408" s="4">
        <f>IF(A408="","",IF(COUNTIF(Venues!$A$2:$A$201,A408)=0,"Unknown venue code",IF(OR(B408="",D408="",E408="",F408=""),"Missing details",IF(LEN(B408)&gt;80,"Name too long",IF(COUNTIFS($A$2:$A$1001,A408,$B$2:$B$1001,B408)&gt;1,"Duplicate court name",IF(AND(C408&lt;&gt;"",C408&lt;&gt;"Hard",C408&lt;&gt;"Synthetic",C408&lt;&gt;"Other",C408&lt;&gt;"Not sure"),"Unknown surface",IF(OR(AND(D408&lt;&gt;"Yes",D408&lt;&gt;"No"),AND(E408&lt;&gt;"Yes",E408&lt;&gt;"No"),AND(F408&lt;&gt;"Yes",F408&lt;&gt;"No")),"Use Yes or No","OK")))))))</f>
      </c>
    </row>
    <row r="409">
      <c r="G409" s="4">
        <f>IF(A409="","",IF(COUNTIF(Venues!$A$2:$A$201,A409)=0,"Unknown venue code",IF(OR(B409="",D409="",E409="",F409=""),"Missing details",IF(LEN(B409)&gt;80,"Name too long",IF(COUNTIFS($A$2:$A$1001,A409,$B$2:$B$1001,B409)&gt;1,"Duplicate court name",IF(AND(C409&lt;&gt;"",C409&lt;&gt;"Hard",C409&lt;&gt;"Synthetic",C409&lt;&gt;"Other",C409&lt;&gt;"Not sure"),"Unknown surface",IF(OR(AND(D409&lt;&gt;"Yes",D409&lt;&gt;"No"),AND(E409&lt;&gt;"Yes",E409&lt;&gt;"No"),AND(F409&lt;&gt;"Yes",F409&lt;&gt;"No")),"Use Yes or No","OK")))))))</f>
      </c>
    </row>
    <row r="410">
      <c r="G410" s="4">
        <f>IF(A410="","",IF(COUNTIF(Venues!$A$2:$A$201,A410)=0,"Unknown venue code",IF(OR(B410="",D410="",E410="",F410=""),"Missing details",IF(LEN(B410)&gt;80,"Name too long",IF(COUNTIFS($A$2:$A$1001,A410,$B$2:$B$1001,B410)&gt;1,"Duplicate court name",IF(AND(C410&lt;&gt;"",C410&lt;&gt;"Hard",C410&lt;&gt;"Synthetic",C410&lt;&gt;"Other",C410&lt;&gt;"Not sure"),"Unknown surface",IF(OR(AND(D410&lt;&gt;"Yes",D410&lt;&gt;"No"),AND(E410&lt;&gt;"Yes",E410&lt;&gt;"No"),AND(F410&lt;&gt;"Yes",F410&lt;&gt;"No")),"Use Yes or No","OK")))))))</f>
      </c>
    </row>
    <row r="411">
      <c r="G411" s="4">
        <f>IF(A411="","",IF(COUNTIF(Venues!$A$2:$A$201,A411)=0,"Unknown venue code",IF(OR(B411="",D411="",E411="",F411=""),"Missing details",IF(LEN(B411)&gt;80,"Name too long",IF(COUNTIFS($A$2:$A$1001,A411,$B$2:$B$1001,B411)&gt;1,"Duplicate court name",IF(AND(C411&lt;&gt;"",C411&lt;&gt;"Hard",C411&lt;&gt;"Synthetic",C411&lt;&gt;"Other",C411&lt;&gt;"Not sure"),"Unknown surface",IF(OR(AND(D411&lt;&gt;"Yes",D411&lt;&gt;"No"),AND(E411&lt;&gt;"Yes",E411&lt;&gt;"No"),AND(F411&lt;&gt;"Yes",F411&lt;&gt;"No")),"Use Yes or No","OK")))))))</f>
      </c>
    </row>
    <row r="412">
      <c r="G412" s="4">
        <f>IF(A412="","",IF(COUNTIF(Venues!$A$2:$A$201,A412)=0,"Unknown venue code",IF(OR(B412="",D412="",E412="",F412=""),"Missing details",IF(LEN(B412)&gt;80,"Name too long",IF(COUNTIFS($A$2:$A$1001,A412,$B$2:$B$1001,B412)&gt;1,"Duplicate court name",IF(AND(C412&lt;&gt;"",C412&lt;&gt;"Hard",C412&lt;&gt;"Synthetic",C412&lt;&gt;"Other",C412&lt;&gt;"Not sure"),"Unknown surface",IF(OR(AND(D412&lt;&gt;"Yes",D412&lt;&gt;"No"),AND(E412&lt;&gt;"Yes",E412&lt;&gt;"No"),AND(F412&lt;&gt;"Yes",F412&lt;&gt;"No")),"Use Yes or No","OK")))))))</f>
      </c>
    </row>
    <row r="413">
      <c r="G413" s="4">
        <f>IF(A413="","",IF(COUNTIF(Venues!$A$2:$A$201,A413)=0,"Unknown venue code",IF(OR(B413="",D413="",E413="",F413=""),"Missing details",IF(LEN(B413)&gt;80,"Name too long",IF(COUNTIFS($A$2:$A$1001,A413,$B$2:$B$1001,B413)&gt;1,"Duplicate court name",IF(AND(C413&lt;&gt;"",C413&lt;&gt;"Hard",C413&lt;&gt;"Synthetic",C413&lt;&gt;"Other",C413&lt;&gt;"Not sure"),"Unknown surface",IF(OR(AND(D413&lt;&gt;"Yes",D413&lt;&gt;"No"),AND(E413&lt;&gt;"Yes",E413&lt;&gt;"No"),AND(F413&lt;&gt;"Yes",F413&lt;&gt;"No")),"Use Yes or No","OK")))))))</f>
      </c>
    </row>
    <row r="414">
      <c r="G414" s="4">
        <f>IF(A414="","",IF(COUNTIF(Venues!$A$2:$A$201,A414)=0,"Unknown venue code",IF(OR(B414="",D414="",E414="",F414=""),"Missing details",IF(LEN(B414)&gt;80,"Name too long",IF(COUNTIFS($A$2:$A$1001,A414,$B$2:$B$1001,B414)&gt;1,"Duplicate court name",IF(AND(C414&lt;&gt;"",C414&lt;&gt;"Hard",C414&lt;&gt;"Synthetic",C414&lt;&gt;"Other",C414&lt;&gt;"Not sure"),"Unknown surface",IF(OR(AND(D414&lt;&gt;"Yes",D414&lt;&gt;"No"),AND(E414&lt;&gt;"Yes",E414&lt;&gt;"No"),AND(F414&lt;&gt;"Yes",F414&lt;&gt;"No")),"Use Yes or No","OK")))))))</f>
      </c>
    </row>
    <row r="415">
      <c r="G415" s="4">
        <f>IF(A415="","",IF(COUNTIF(Venues!$A$2:$A$201,A415)=0,"Unknown venue code",IF(OR(B415="",D415="",E415="",F415=""),"Missing details",IF(LEN(B415)&gt;80,"Name too long",IF(COUNTIFS($A$2:$A$1001,A415,$B$2:$B$1001,B415)&gt;1,"Duplicate court name",IF(AND(C415&lt;&gt;"",C415&lt;&gt;"Hard",C415&lt;&gt;"Synthetic",C415&lt;&gt;"Other",C415&lt;&gt;"Not sure"),"Unknown surface",IF(OR(AND(D415&lt;&gt;"Yes",D415&lt;&gt;"No"),AND(E415&lt;&gt;"Yes",E415&lt;&gt;"No"),AND(F415&lt;&gt;"Yes",F415&lt;&gt;"No")),"Use Yes or No","OK")))))))</f>
      </c>
    </row>
    <row r="416">
      <c r="G416" s="4">
        <f>IF(A416="","",IF(COUNTIF(Venues!$A$2:$A$201,A416)=0,"Unknown venue code",IF(OR(B416="",D416="",E416="",F416=""),"Missing details",IF(LEN(B416)&gt;80,"Name too long",IF(COUNTIFS($A$2:$A$1001,A416,$B$2:$B$1001,B416)&gt;1,"Duplicate court name",IF(AND(C416&lt;&gt;"",C416&lt;&gt;"Hard",C416&lt;&gt;"Synthetic",C416&lt;&gt;"Other",C416&lt;&gt;"Not sure"),"Unknown surface",IF(OR(AND(D416&lt;&gt;"Yes",D416&lt;&gt;"No"),AND(E416&lt;&gt;"Yes",E416&lt;&gt;"No"),AND(F416&lt;&gt;"Yes",F416&lt;&gt;"No")),"Use Yes or No","OK")))))))</f>
      </c>
    </row>
    <row r="417">
      <c r="G417" s="4">
        <f>IF(A417="","",IF(COUNTIF(Venues!$A$2:$A$201,A417)=0,"Unknown venue code",IF(OR(B417="",D417="",E417="",F417=""),"Missing details",IF(LEN(B417)&gt;80,"Name too long",IF(COUNTIFS($A$2:$A$1001,A417,$B$2:$B$1001,B417)&gt;1,"Duplicate court name",IF(AND(C417&lt;&gt;"",C417&lt;&gt;"Hard",C417&lt;&gt;"Synthetic",C417&lt;&gt;"Other",C417&lt;&gt;"Not sure"),"Unknown surface",IF(OR(AND(D417&lt;&gt;"Yes",D417&lt;&gt;"No"),AND(E417&lt;&gt;"Yes",E417&lt;&gt;"No"),AND(F417&lt;&gt;"Yes",F417&lt;&gt;"No")),"Use Yes or No","OK")))))))</f>
      </c>
    </row>
    <row r="418">
      <c r="G418" s="4">
        <f>IF(A418="","",IF(COUNTIF(Venues!$A$2:$A$201,A418)=0,"Unknown venue code",IF(OR(B418="",D418="",E418="",F418=""),"Missing details",IF(LEN(B418)&gt;80,"Name too long",IF(COUNTIFS($A$2:$A$1001,A418,$B$2:$B$1001,B418)&gt;1,"Duplicate court name",IF(AND(C418&lt;&gt;"",C418&lt;&gt;"Hard",C418&lt;&gt;"Synthetic",C418&lt;&gt;"Other",C418&lt;&gt;"Not sure"),"Unknown surface",IF(OR(AND(D418&lt;&gt;"Yes",D418&lt;&gt;"No"),AND(E418&lt;&gt;"Yes",E418&lt;&gt;"No"),AND(F418&lt;&gt;"Yes",F418&lt;&gt;"No")),"Use Yes or No","OK")))))))</f>
      </c>
    </row>
    <row r="419">
      <c r="G419" s="4">
        <f>IF(A419="","",IF(COUNTIF(Venues!$A$2:$A$201,A419)=0,"Unknown venue code",IF(OR(B419="",D419="",E419="",F419=""),"Missing details",IF(LEN(B419)&gt;80,"Name too long",IF(COUNTIFS($A$2:$A$1001,A419,$B$2:$B$1001,B419)&gt;1,"Duplicate court name",IF(AND(C419&lt;&gt;"",C419&lt;&gt;"Hard",C419&lt;&gt;"Synthetic",C419&lt;&gt;"Other",C419&lt;&gt;"Not sure"),"Unknown surface",IF(OR(AND(D419&lt;&gt;"Yes",D419&lt;&gt;"No"),AND(E419&lt;&gt;"Yes",E419&lt;&gt;"No"),AND(F419&lt;&gt;"Yes",F419&lt;&gt;"No")),"Use Yes or No","OK")))))))</f>
      </c>
    </row>
    <row r="420">
      <c r="G420" s="4">
        <f>IF(A420="","",IF(COUNTIF(Venues!$A$2:$A$201,A420)=0,"Unknown venue code",IF(OR(B420="",D420="",E420="",F420=""),"Missing details",IF(LEN(B420)&gt;80,"Name too long",IF(COUNTIFS($A$2:$A$1001,A420,$B$2:$B$1001,B420)&gt;1,"Duplicate court name",IF(AND(C420&lt;&gt;"",C420&lt;&gt;"Hard",C420&lt;&gt;"Synthetic",C420&lt;&gt;"Other",C420&lt;&gt;"Not sure"),"Unknown surface",IF(OR(AND(D420&lt;&gt;"Yes",D420&lt;&gt;"No"),AND(E420&lt;&gt;"Yes",E420&lt;&gt;"No"),AND(F420&lt;&gt;"Yes",F420&lt;&gt;"No")),"Use Yes or No","OK")))))))</f>
      </c>
    </row>
    <row r="421">
      <c r="G421" s="4">
        <f>IF(A421="","",IF(COUNTIF(Venues!$A$2:$A$201,A421)=0,"Unknown venue code",IF(OR(B421="",D421="",E421="",F421=""),"Missing details",IF(LEN(B421)&gt;80,"Name too long",IF(COUNTIFS($A$2:$A$1001,A421,$B$2:$B$1001,B421)&gt;1,"Duplicate court name",IF(AND(C421&lt;&gt;"",C421&lt;&gt;"Hard",C421&lt;&gt;"Synthetic",C421&lt;&gt;"Other",C421&lt;&gt;"Not sure"),"Unknown surface",IF(OR(AND(D421&lt;&gt;"Yes",D421&lt;&gt;"No"),AND(E421&lt;&gt;"Yes",E421&lt;&gt;"No"),AND(F421&lt;&gt;"Yes",F421&lt;&gt;"No")),"Use Yes or No","OK")))))))</f>
      </c>
    </row>
    <row r="422">
      <c r="G422" s="4">
        <f>IF(A422="","",IF(COUNTIF(Venues!$A$2:$A$201,A422)=0,"Unknown venue code",IF(OR(B422="",D422="",E422="",F422=""),"Missing details",IF(LEN(B422)&gt;80,"Name too long",IF(COUNTIFS($A$2:$A$1001,A422,$B$2:$B$1001,B422)&gt;1,"Duplicate court name",IF(AND(C422&lt;&gt;"",C422&lt;&gt;"Hard",C422&lt;&gt;"Synthetic",C422&lt;&gt;"Other",C422&lt;&gt;"Not sure"),"Unknown surface",IF(OR(AND(D422&lt;&gt;"Yes",D422&lt;&gt;"No"),AND(E422&lt;&gt;"Yes",E422&lt;&gt;"No"),AND(F422&lt;&gt;"Yes",F422&lt;&gt;"No")),"Use Yes or No","OK")))))))</f>
      </c>
    </row>
    <row r="423">
      <c r="G423" s="4">
        <f>IF(A423="","",IF(COUNTIF(Venues!$A$2:$A$201,A423)=0,"Unknown venue code",IF(OR(B423="",D423="",E423="",F423=""),"Missing details",IF(LEN(B423)&gt;80,"Name too long",IF(COUNTIFS($A$2:$A$1001,A423,$B$2:$B$1001,B423)&gt;1,"Duplicate court name",IF(AND(C423&lt;&gt;"",C423&lt;&gt;"Hard",C423&lt;&gt;"Synthetic",C423&lt;&gt;"Other",C423&lt;&gt;"Not sure"),"Unknown surface",IF(OR(AND(D423&lt;&gt;"Yes",D423&lt;&gt;"No"),AND(E423&lt;&gt;"Yes",E423&lt;&gt;"No"),AND(F423&lt;&gt;"Yes",F423&lt;&gt;"No")),"Use Yes or No","OK")))))))</f>
      </c>
    </row>
    <row r="424">
      <c r="G424" s="4">
        <f>IF(A424="","",IF(COUNTIF(Venues!$A$2:$A$201,A424)=0,"Unknown venue code",IF(OR(B424="",D424="",E424="",F424=""),"Missing details",IF(LEN(B424)&gt;80,"Name too long",IF(COUNTIFS($A$2:$A$1001,A424,$B$2:$B$1001,B424)&gt;1,"Duplicate court name",IF(AND(C424&lt;&gt;"",C424&lt;&gt;"Hard",C424&lt;&gt;"Synthetic",C424&lt;&gt;"Other",C424&lt;&gt;"Not sure"),"Unknown surface",IF(OR(AND(D424&lt;&gt;"Yes",D424&lt;&gt;"No"),AND(E424&lt;&gt;"Yes",E424&lt;&gt;"No"),AND(F424&lt;&gt;"Yes",F424&lt;&gt;"No")),"Use Yes or No","OK")))))))</f>
      </c>
    </row>
    <row r="425">
      <c r="G425" s="4">
        <f>IF(A425="","",IF(COUNTIF(Venues!$A$2:$A$201,A425)=0,"Unknown venue code",IF(OR(B425="",D425="",E425="",F425=""),"Missing details",IF(LEN(B425)&gt;80,"Name too long",IF(COUNTIFS($A$2:$A$1001,A425,$B$2:$B$1001,B425)&gt;1,"Duplicate court name",IF(AND(C425&lt;&gt;"",C425&lt;&gt;"Hard",C425&lt;&gt;"Synthetic",C425&lt;&gt;"Other",C425&lt;&gt;"Not sure"),"Unknown surface",IF(OR(AND(D425&lt;&gt;"Yes",D425&lt;&gt;"No"),AND(E425&lt;&gt;"Yes",E425&lt;&gt;"No"),AND(F425&lt;&gt;"Yes",F425&lt;&gt;"No")),"Use Yes or No","OK")))))))</f>
      </c>
    </row>
    <row r="426">
      <c r="G426" s="4">
        <f>IF(A426="","",IF(COUNTIF(Venues!$A$2:$A$201,A426)=0,"Unknown venue code",IF(OR(B426="",D426="",E426="",F426=""),"Missing details",IF(LEN(B426)&gt;80,"Name too long",IF(COUNTIFS($A$2:$A$1001,A426,$B$2:$B$1001,B426)&gt;1,"Duplicate court name",IF(AND(C426&lt;&gt;"",C426&lt;&gt;"Hard",C426&lt;&gt;"Synthetic",C426&lt;&gt;"Other",C426&lt;&gt;"Not sure"),"Unknown surface",IF(OR(AND(D426&lt;&gt;"Yes",D426&lt;&gt;"No"),AND(E426&lt;&gt;"Yes",E426&lt;&gt;"No"),AND(F426&lt;&gt;"Yes",F426&lt;&gt;"No")),"Use Yes or No","OK")))))))</f>
      </c>
    </row>
    <row r="427">
      <c r="G427" s="4">
        <f>IF(A427="","",IF(COUNTIF(Venues!$A$2:$A$201,A427)=0,"Unknown venue code",IF(OR(B427="",D427="",E427="",F427=""),"Missing details",IF(LEN(B427)&gt;80,"Name too long",IF(COUNTIFS($A$2:$A$1001,A427,$B$2:$B$1001,B427)&gt;1,"Duplicate court name",IF(AND(C427&lt;&gt;"",C427&lt;&gt;"Hard",C427&lt;&gt;"Synthetic",C427&lt;&gt;"Other",C427&lt;&gt;"Not sure"),"Unknown surface",IF(OR(AND(D427&lt;&gt;"Yes",D427&lt;&gt;"No"),AND(E427&lt;&gt;"Yes",E427&lt;&gt;"No"),AND(F427&lt;&gt;"Yes",F427&lt;&gt;"No")),"Use Yes or No","OK")))))))</f>
      </c>
    </row>
    <row r="428">
      <c r="G428" s="4">
        <f>IF(A428="","",IF(COUNTIF(Venues!$A$2:$A$201,A428)=0,"Unknown venue code",IF(OR(B428="",D428="",E428="",F428=""),"Missing details",IF(LEN(B428)&gt;80,"Name too long",IF(COUNTIFS($A$2:$A$1001,A428,$B$2:$B$1001,B428)&gt;1,"Duplicate court name",IF(AND(C428&lt;&gt;"",C428&lt;&gt;"Hard",C428&lt;&gt;"Synthetic",C428&lt;&gt;"Other",C428&lt;&gt;"Not sure"),"Unknown surface",IF(OR(AND(D428&lt;&gt;"Yes",D428&lt;&gt;"No"),AND(E428&lt;&gt;"Yes",E428&lt;&gt;"No"),AND(F428&lt;&gt;"Yes",F428&lt;&gt;"No")),"Use Yes or No","OK")))))))</f>
      </c>
    </row>
    <row r="429">
      <c r="G429" s="4">
        <f>IF(A429="","",IF(COUNTIF(Venues!$A$2:$A$201,A429)=0,"Unknown venue code",IF(OR(B429="",D429="",E429="",F429=""),"Missing details",IF(LEN(B429)&gt;80,"Name too long",IF(COUNTIFS($A$2:$A$1001,A429,$B$2:$B$1001,B429)&gt;1,"Duplicate court name",IF(AND(C429&lt;&gt;"",C429&lt;&gt;"Hard",C429&lt;&gt;"Synthetic",C429&lt;&gt;"Other",C429&lt;&gt;"Not sure"),"Unknown surface",IF(OR(AND(D429&lt;&gt;"Yes",D429&lt;&gt;"No"),AND(E429&lt;&gt;"Yes",E429&lt;&gt;"No"),AND(F429&lt;&gt;"Yes",F429&lt;&gt;"No")),"Use Yes or No","OK")))))))</f>
      </c>
    </row>
    <row r="430">
      <c r="G430" s="4">
        <f>IF(A430="","",IF(COUNTIF(Venues!$A$2:$A$201,A430)=0,"Unknown venue code",IF(OR(B430="",D430="",E430="",F430=""),"Missing details",IF(LEN(B430)&gt;80,"Name too long",IF(COUNTIFS($A$2:$A$1001,A430,$B$2:$B$1001,B430)&gt;1,"Duplicate court name",IF(AND(C430&lt;&gt;"",C430&lt;&gt;"Hard",C430&lt;&gt;"Synthetic",C430&lt;&gt;"Other",C430&lt;&gt;"Not sure"),"Unknown surface",IF(OR(AND(D430&lt;&gt;"Yes",D430&lt;&gt;"No"),AND(E430&lt;&gt;"Yes",E430&lt;&gt;"No"),AND(F430&lt;&gt;"Yes",F430&lt;&gt;"No")),"Use Yes or No","OK")))))))</f>
      </c>
    </row>
    <row r="431">
      <c r="G431" s="4">
        <f>IF(A431="","",IF(COUNTIF(Venues!$A$2:$A$201,A431)=0,"Unknown venue code",IF(OR(B431="",D431="",E431="",F431=""),"Missing details",IF(LEN(B431)&gt;80,"Name too long",IF(COUNTIFS($A$2:$A$1001,A431,$B$2:$B$1001,B431)&gt;1,"Duplicate court name",IF(AND(C431&lt;&gt;"",C431&lt;&gt;"Hard",C431&lt;&gt;"Synthetic",C431&lt;&gt;"Other",C431&lt;&gt;"Not sure"),"Unknown surface",IF(OR(AND(D431&lt;&gt;"Yes",D431&lt;&gt;"No"),AND(E431&lt;&gt;"Yes",E431&lt;&gt;"No"),AND(F431&lt;&gt;"Yes",F431&lt;&gt;"No")),"Use Yes or No","OK")))))))</f>
      </c>
    </row>
    <row r="432">
      <c r="G432" s="4">
        <f>IF(A432="","",IF(COUNTIF(Venues!$A$2:$A$201,A432)=0,"Unknown venue code",IF(OR(B432="",D432="",E432="",F432=""),"Missing details",IF(LEN(B432)&gt;80,"Name too long",IF(COUNTIFS($A$2:$A$1001,A432,$B$2:$B$1001,B432)&gt;1,"Duplicate court name",IF(AND(C432&lt;&gt;"",C432&lt;&gt;"Hard",C432&lt;&gt;"Synthetic",C432&lt;&gt;"Other",C432&lt;&gt;"Not sure"),"Unknown surface",IF(OR(AND(D432&lt;&gt;"Yes",D432&lt;&gt;"No"),AND(E432&lt;&gt;"Yes",E432&lt;&gt;"No"),AND(F432&lt;&gt;"Yes",F432&lt;&gt;"No")),"Use Yes or No","OK")))))))</f>
      </c>
    </row>
    <row r="433">
      <c r="G433" s="4">
        <f>IF(A433="","",IF(COUNTIF(Venues!$A$2:$A$201,A433)=0,"Unknown venue code",IF(OR(B433="",D433="",E433="",F433=""),"Missing details",IF(LEN(B433)&gt;80,"Name too long",IF(COUNTIFS($A$2:$A$1001,A433,$B$2:$B$1001,B433)&gt;1,"Duplicate court name",IF(AND(C433&lt;&gt;"",C433&lt;&gt;"Hard",C433&lt;&gt;"Synthetic",C433&lt;&gt;"Other",C433&lt;&gt;"Not sure"),"Unknown surface",IF(OR(AND(D433&lt;&gt;"Yes",D433&lt;&gt;"No"),AND(E433&lt;&gt;"Yes",E433&lt;&gt;"No"),AND(F433&lt;&gt;"Yes",F433&lt;&gt;"No")),"Use Yes or No","OK")))))))</f>
      </c>
    </row>
    <row r="434">
      <c r="G434" s="4">
        <f>IF(A434="","",IF(COUNTIF(Venues!$A$2:$A$201,A434)=0,"Unknown venue code",IF(OR(B434="",D434="",E434="",F434=""),"Missing details",IF(LEN(B434)&gt;80,"Name too long",IF(COUNTIFS($A$2:$A$1001,A434,$B$2:$B$1001,B434)&gt;1,"Duplicate court name",IF(AND(C434&lt;&gt;"",C434&lt;&gt;"Hard",C434&lt;&gt;"Synthetic",C434&lt;&gt;"Other",C434&lt;&gt;"Not sure"),"Unknown surface",IF(OR(AND(D434&lt;&gt;"Yes",D434&lt;&gt;"No"),AND(E434&lt;&gt;"Yes",E434&lt;&gt;"No"),AND(F434&lt;&gt;"Yes",F434&lt;&gt;"No")),"Use Yes or No","OK")))))))</f>
      </c>
    </row>
    <row r="435">
      <c r="G435" s="4">
        <f>IF(A435="","",IF(COUNTIF(Venues!$A$2:$A$201,A435)=0,"Unknown venue code",IF(OR(B435="",D435="",E435="",F435=""),"Missing details",IF(LEN(B435)&gt;80,"Name too long",IF(COUNTIFS($A$2:$A$1001,A435,$B$2:$B$1001,B435)&gt;1,"Duplicate court name",IF(AND(C435&lt;&gt;"",C435&lt;&gt;"Hard",C435&lt;&gt;"Synthetic",C435&lt;&gt;"Other",C435&lt;&gt;"Not sure"),"Unknown surface",IF(OR(AND(D435&lt;&gt;"Yes",D435&lt;&gt;"No"),AND(E435&lt;&gt;"Yes",E435&lt;&gt;"No"),AND(F435&lt;&gt;"Yes",F435&lt;&gt;"No")),"Use Yes or No","OK")))))))</f>
      </c>
    </row>
    <row r="436">
      <c r="G436" s="4">
        <f>IF(A436="","",IF(COUNTIF(Venues!$A$2:$A$201,A436)=0,"Unknown venue code",IF(OR(B436="",D436="",E436="",F436=""),"Missing details",IF(LEN(B436)&gt;80,"Name too long",IF(COUNTIFS($A$2:$A$1001,A436,$B$2:$B$1001,B436)&gt;1,"Duplicate court name",IF(AND(C436&lt;&gt;"",C436&lt;&gt;"Hard",C436&lt;&gt;"Synthetic",C436&lt;&gt;"Other",C436&lt;&gt;"Not sure"),"Unknown surface",IF(OR(AND(D436&lt;&gt;"Yes",D436&lt;&gt;"No"),AND(E436&lt;&gt;"Yes",E436&lt;&gt;"No"),AND(F436&lt;&gt;"Yes",F436&lt;&gt;"No")),"Use Yes or No","OK")))))))</f>
      </c>
    </row>
    <row r="437">
      <c r="G437" s="4">
        <f>IF(A437="","",IF(COUNTIF(Venues!$A$2:$A$201,A437)=0,"Unknown venue code",IF(OR(B437="",D437="",E437="",F437=""),"Missing details",IF(LEN(B437)&gt;80,"Name too long",IF(COUNTIFS($A$2:$A$1001,A437,$B$2:$B$1001,B437)&gt;1,"Duplicate court name",IF(AND(C437&lt;&gt;"",C437&lt;&gt;"Hard",C437&lt;&gt;"Synthetic",C437&lt;&gt;"Other",C437&lt;&gt;"Not sure"),"Unknown surface",IF(OR(AND(D437&lt;&gt;"Yes",D437&lt;&gt;"No"),AND(E437&lt;&gt;"Yes",E437&lt;&gt;"No"),AND(F437&lt;&gt;"Yes",F437&lt;&gt;"No")),"Use Yes or No","OK")))))))</f>
      </c>
    </row>
    <row r="438">
      <c r="G438" s="4">
        <f>IF(A438="","",IF(COUNTIF(Venues!$A$2:$A$201,A438)=0,"Unknown venue code",IF(OR(B438="",D438="",E438="",F438=""),"Missing details",IF(LEN(B438)&gt;80,"Name too long",IF(COUNTIFS($A$2:$A$1001,A438,$B$2:$B$1001,B438)&gt;1,"Duplicate court name",IF(AND(C438&lt;&gt;"",C438&lt;&gt;"Hard",C438&lt;&gt;"Synthetic",C438&lt;&gt;"Other",C438&lt;&gt;"Not sure"),"Unknown surface",IF(OR(AND(D438&lt;&gt;"Yes",D438&lt;&gt;"No"),AND(E438&lt;&gt;"Yes",E438&lt;&gt;"No"),AND(F438&lt;&gt;"Yes",F438&lt;&gt;"No")),"Use Yes or No","OK")))))))</f>
      </c>
    </row>
    <row r="439">
      <c r="G439" s="4">
        <f>IF(A439="","",IF(COUNTIF(Venues!$A$2:$A$201,A439)=0,"Unknown venue code",IF(OR(B439="",D439="",E439="",F439=""),"Missing details",IF(LEN(B439)&gt;80,"Name too long",IF(COUNTIFS($A$2:$A$1001,A439,$B$2:$B$1001,B439)&gt;1,"Duplicate court name",IF(AND(C439&lt;&gt;"",C439&lt;&gt;"Hard",C439&lt;&gt;"Synthetic",C439&lt;&gt;"Other",C439&lt;&gt;"Not sure"),"Unknown surface",IF(OR(AND(D439&lt;&gt;"Yes",D439&lt;&gt;"No"),AND(E439&lt;&gt;"Yes",E439&lt;&gt;"No"),AND(F439&lt;&gt;"Yes",F439&lt;&gt;"No")),"Use Yes or No","OK")))))))</f>
      </c>
    </row>
    <row r="440">
      <c r="G440" s="4">
        <f>IF(A440="","",IF(COUNTIF(Venues!$A$2:$A$201,A440)=0,"Unknown venue code",IF(OR(B440="",D440="",E440="",F440=""),"Missing details",IF(LEN(B440)&gt;80,"Name too long",IF(COUNTIFS($A$2:$A$1001,A440,$B$2:$B$1001,B440)&gt;1,"Duplicate court name",IF(AND(C440&lt;&gt;"",C440&lt;&gt;"Hard",C440&lt;&gt;"Synthetic",C440&lt;&gt;"Other",C440&lt;&gt;"Not sure"),"Unknown surface",IF(OR(AND(D440&lt;&gt;"Yes",D440&lt;&gt;"No"),AND(E440&lt;&gt;"Yes",E440&lt;&gt;"No"),AND(F440&lt;&gt;"Yes",F440&lt;&gt;"No")),"Use Yes or No","OK")))))))</f>
      </c>
    </row>
    <row r="441">
      <c r="G441" s="4">
        <f>IF(A441="","",IF(COUNTIF(Venues!$A$2:$A$201,A441)=0,"Unknown venue code",IF(OR(B441="",D441="",E441="",F441=""),"Missing details",IF(LEN(B441)&gt;80,"Name too long",IF(COUNTIFS($A$2:$A$1001,A441,$B$2:$B$1001,B441)&gt;1,"Duplicate court name",IF(AND(C441&lt;&gt;"",C441&lt;&gt;"Hard",C441&lt;&gt;"Synthetic",C441&lt;&gt;"Other",C441&lt;&gt;"Not sure"),"Unknown surface",IF(OR(AND(D441&lt;&gt;"Yes",D441&lt;&gt;"No"),AND(E441&lt;&gt;"Yes",E441&lt;&gt;"No"),AND(F441&lt;&gt;"Yes",F441&lt;&gt;"No")),"Use Yes or No","OK")))))))</f>
      </c>
    </row>
    <row r="442">
      <c r="G442" s="4">
        <f>IF(A442="","",IF(COUNTIF(Venues!$A$2:$A$201,A442)=0,"Unknown venue code",IF(OR(B442="",D442="",E442="",F442=""),"Missing details",IF(LEN(B442)&gt;80,"Name too long",IF(COUNTIFS($A$2:$A$1001,A442,$B$2:$B$1001,B442)&gt;1,"Duplicate court name",IF(AND(C442&lt;&gt;"",C442&lt;&gt;"Hard",C442&lt;&gt;"Synthetic",C442&lt;&gt;"Other",C442&lt;&gt;"Not sure"),"Unknown surface",IF(OR(AND(D442&lt;&gt;"Yes",D442&lt;&gt;"No"),AND(E442&lt;&gt;"Yes",E442&lt;&gt;"No"),AND(F442&lt;&gt;"Yes",F442&lt;&gt;"No")),"Use Yes or No","OK")))))))</f>
      </c>
    </row>
    <row r="443">
      <c r="G443" s="4">
        <f>IF(A443="","",IF(COUNTIF(Venues!$A$2:$A$201,A443)=0,"Unknown venue code",IF(OR(B443="",D443="",E443="",F443=""),"Missing details",IF(LEN(B443)&gt;80,"Name too long",IF(COUNTIFS($A$2:$A$1001,A443,$B$2:$B$1001,B443)&gt;1,"Duplicate court name",IF(AND(C443&lt;&gt;"",C443&lt;&gt;"Hard",C443&lt;&gt;"Synthetic",C443&lt;&gt;"Other",C443&lt;&gt;"Not sure"),"Unknown surface",IF(OR(AND(D443&lt;&gt;"Yes",D443&lt;&gt;"No"),AND(E443&lt;&gt;"Yes",E443&lt;&gt;"No"),AND(F443&lt;&gt;"Yes",F443&lt;&gt;"No")),"Use Yes or No","OK")))))))</f>
      </c>
    </row>
    <row r="444">
      <c r="G444" s="4">
        <f>IF(A444="","",IF(COUNTIF(Venues!$A$2:$A$201,A444)=0,"Unknown venue code",IF(OR(B444="",D444="",E444="",F444=""),"Missing details",IF(LEN(B444)&gt;80,"Name too long",IF(COUNTIFS($A$2:$A$1001,A444,$B$2:$B$1001,B444)&gt;1,"Duplicate court name",IF(AND(C444&lt;&gt;"",C444&lt;&gt;"Hard",C444&lt;&gt;"Synthetic",C444&lt;&gt;"Other",C444&lt;&gt;"Not sure"),"Unknown surface",IF(OR(AND(D444&lt;&gt;"Yes",D444&lt;&gt;"No"),AND(E444&lt;&gt;"Yes",E444&lt;&gt;"No"),AND(F444&lt;&gt;"Yes",F444&lt;&gt;"No")),"Use Yes or No","OK")))))))</f>
      </c>
    </row>
    <row r="445">
      <c r="G445" s="4">
        <f>IF(A445="","",IF(COUNTIF(Venues!$A$2:$A$201,A445)=0,"Unknown venue code",IF(OR(B445="",D445="",E445="",F445=""),"Missing details",IF(LEN(B445)&gt;80,"Name too long",IF(COUNTIFS($A$2:$A$1001,A445,$B$2:$B$1001,B445)&gt;1,"Duplicate court name",IF(AND(C445&lt;&gt;"",C445&lt;&gt;"Hard",C445&lt;&gt;"Synthetic",C445&lt;&gt;"Other",C445&lt;&gt;"Not sure"),"Unknown surface",IF(OR(AND(D445&lt;&gt;"Yes",D445&lt;&gt;"No"),AND(E445&lt;&gt;"Yes",E445&lt;&gt;"No"),AND(F445&lt;&gt;"Yes",F445&lt;&gt;"No")),"Use Yes or No","OK")))))))</f>
      </c>
    </row>
    <row r="446">
      <c r="G446" s="4">
        <f>IF(A446="","",IF(COUNTIF(Venues!$A$2:$A$201,A446)=0,"Unknown venue code",IF(OR(B446="",D446="",E446="",F446=""),"Missing details",IF(LEN(B446)&gt;80,"Name too long",IF(COUNTIFS($A$2:$A$1001,A446,$B$2:$B$1001,B446)&gt;1,"Duplicate court name",IF(AND(C446&lt;&gt;"",C446&lt;&gt;"Hard",C446&lt;&gt;"Synthetic",C446&lt;&gt;"Other",C446&lt;&gt;"Not sure"),"Unknown surface",IF(OR(AND(D446&lt;&gt;"Yes",D446&lt;&gt;"No"),AND(E446&lt;&gt;"Yes",E446&lt;&gt;"No"),AND(F446&lt;&gt;"Yes",F446&lt;&gt;"No")),"Use Yes or No","OK")))))))</f>
      </c>
    </row>
    <row r="447">
      <c r="G447" s="4">
        <f>IF(A447="","",IF(COUNTIF(Venues!$A$2:$A$201,A447)=0,"Unknown venue code",IF(OR(B447="",D447="",E447="",F447=""),"Missing details",IF(LEN(B447)&gt;80,"Name too long",IF(COUNTIFS($A$2:$A$1001,A447,$B$2:$B$1001,B447)&gt;1,"Duplicate court name",IF(AND(C447&lt;&gt;"",C447&lt;&gt;"Hard",C447&lt;&gt;"Synthetic",C447&lt;&gt;"Other",C447&lt;&gt;"Not sure"),"Unknown surface",IF(OR(AND(D447&lt;&gt;"Yes",D447&lt;&gt;"No"),AND(E447&lt;&gt;"Yes",E447&lt;&gt;"No"),AND(F447&lt;&gt;"Yes",F447&lt;&gt;"No")),"Use Yes or No","OK")))))))</f>
      </c>
    </row>
    <row r="448">
      <c r="G448" s="4">
        <f>IF(A448="","",IF(COUNTIF(Venues!$A$2:$A$201,A448)=0,"Unknown venue code",IF(OR(B448="",D448="",E448="",F448=""),"Missing details",IF(LEN(B448)&gt;80,"Name too long",IF(COUNTIFS($A$2:$A$1001,A448,$B$2:$B$1001,B448)&gt;1,"Duplicate court name",IF(AND(C448&lt;&gt;"",C448&lt;&gt;"Hard",C448&lt;&gt;"Synthetic",C448&lt;&gt;"Other",C448&lt;&gt;"Not sure"),"Unknown surface",IF(OR(AND(D448&lt;&gt;"Yes",D448&lt;&gt;"No"),AND(E448&lt;&gt;"Yes",E448&lt;&gt;"No"),AND(F448&lt;&gt;"Yes",F448&lt;&gt;"No")),"Use Yes or No","OK")))))))</f>
      </c>
    </row>
    <row r="449">
      <c r="G449" s="4">
        <f>IF(A449="","",IF(COUNTIF(Venues!$A$2:$A$201,A449)=0,"Unknown venue code",IF(OR(B449="",D449="",E449="",F449=""),"Missing details",IF(LEN(B449)&gt;80,"Name too long",IF(COUNTIFS($A$2:$A$1001,A449,$B$2:$B$1001,B449)&gt;1,"Duplicate court name",IF(AND(C449&lt;&gt;"",C449&lt;&gt;"Hard",C449&lt;&gt;"Synthetic",C449&lt;&gt;"Other",C449&lt;&gt;"Not sure"),"Unknown surface",IF(OR(AND(D449&lt;&gt;"Yes",D449&lt;&gt;"No"),AND(E449&lt;&gt;"Yes",E449&lt;&gt;"No"),AND(F449&lt;&gt;"Yes",F449&lt;&gt;"No")),"Use Yes or No","OK")))))))</f>
      </c>
    </row>
    <row r="450">
      <c r="G450" s="4">
        <f>IF(A450="","",IF(COUNTIF(Venues!$A$2:$A$201,A450)=0,"Unknown venue code",IF(OR(B450="",D450="",E450="",F450=""),"Missing details",IF(LEN(B450)&gt;80,"Name too long",IF(COUNTIFS($A$2:$A$1001,A450,$B$2:$B$1001,B450)&gt;1,"Duplicate court name",IF(AND(C450&lt;&gt;"",C450&lt;&gt;"Hard",C450&lt;&gt;"Synthetic",C450&lt;&gt;"Other",C450&lt;&gt;"Not sure"),"Unknown surface",IF(OR(AND(D450&lt;&gt;"Yes",D450&lt;&gt;"No"),AND(E450&lt;&gt;"Yes",E450&lt;&gt;"No"),AND(F450&lt;&gt;"Yes",F450&lt;&gt;"No")),"Use Yes or No","OK")))))))</f>
      </c>
    </row>
    <row r="451">
      <c r="G451" s="4">
        <f>IF(A451="","",IF(COUNTIF(Venues!$A$2:$A$201,A451)=0,"Unknown venue code",IF(OR(B451="",D451="",E451="",F451=""),"Missing details",IF(LEN(B451)&gt;80,"Name too long",IF(COUNTIFS($A$2:$A$1001,A451,$B$2:$B$1001,B451)&gt;1,"Duplicate court name",IF(AND(C451&lt;&gt;"",C451&lt;&gt;"Hard",C451&lt;&gt;"Synthetic",C451&lt;&gt;"Other",C451&lt;&gt;"Not sure"),"Unknown surface",IF(OR(AND(D451&lt;&gt;"Yes",D451&lt;&gt;"No"),AND(E451&lt;&gt;"Yes",E451&lt;&gt;"No"),AND(F451&lt;&gt;"Yes",F451&lt;&gt;"No")),"Use Yes or No","OK")))))))</f>
      </c>
    </row>
    <row r="452">
      <c r="G452" s="4">
        <f>IF(A452="","",IF(COUNTIF(Venues!$A$2:$A$201,A452)=0,"Unknown venue code",IF(OR(B452="",D452="",E452="",F452=""),"Missing details",IF(LEN(B452)&gt;80,"Name too long",IF(COUNTIFS($A$2:$A$1001,A452,$B$2:$B$1001,B452)&gt;1,"Duplicate court name",IF(AND(C452&lt;&gt;"",C452&lt;&gt;"Hard",C452&lt;&gt;"Synthetic",C452&lt;&gt;"Other",C452&lt;&gt;"Not sure"),"Unknown surface",IF(OR(AND(D452&lt;&gt;"Yes",D452&lt;&gt;"No"),AND(E452&lt;&gt;"Yes",E452&lt;&gt;"No"),AND(F452&lt;&gt;"Yes",F452&lt;&gt;"No")),"Use Yes or No","OK")))))))</f>
      </c>
    </row>
    <row r="453">
      <c r="G453" s="4">
        <f>IF(A453="","",IF(COUNTIF(Venues!$A$2:$A$201,A453)=0,"Unknown venue code",IF(OR(B453="",D453="",E453="",F453=""),"Missing details",IF(LEN(B453)&gt;80,"Name too long",IF(COUNTIFS($A$2:$A$1001,A453,$B$2:$B$1001,B453)&gt;1,"Duplicate court name",IF(AND(C453&lt;&gt;"",C453&lt;&gt;"Hard",C453&lt;&gt;"Synthetic",C453&lt;&gt;"Other",C453&lt;&gt;"Not sure"),"Unknown surface",IF(OR(AND(D453&lt;&gt;"Yes",D453&lt;&gt;"No"),AND(E453&lt;&gt;"Yes",E453&lt;&gt;"No"),AND(F453&lt;&gt;"Yes",F453&lt;&gt;"No")),"Use Yes or No","OK")))))))</f>
      </c>
    </row>
    <row r="454">
      <c r="G454" s="4">
        <f>IF(A454="","",IF(COUNTIF(Venues!$A$2:$A$201,A454)=0,"Unknown venue code",IF(OR(B454="",D454="",E454="",F454=""),"Missing details",IF(LEN(B454)&gt;80,"Name too long",IF(COUNTIFS($A$2:$A$1001,A454,$B$2:$B$1001,B454)&gt;1,"Duplicate court name",IF(AND(C454&lt;&gt;"",C454&lt;&gt;"Hard",C454&lt;&gt;"Synthetic",C454&lt;&gt;"Other",C454&lt;&gt;"Not sure"),"Unknown surface",IF(OR(AND(D454&lt;&gt;"Yes",D454&lt;&gt;"No"),AND(E454&lt;&gt;"Yes",E454&lt;&gt;"No"),AND(F454&lt;&gt;"Yes",F454&lt;&gt;"No")),"Use Yes or No","OK")))))))</f>
      </c>
    </row>
    <row r="455">
      <c r="G455" s="4">
        <f>IF(A455="","",IF(COUNTIF(Venues!$A$2:$A$201,A455)=0,"Unknown venue code",IF(OR(B455="",D455="",E455="",F455=""),"Missing details",IF(LEN(B455)&gt;80,"Name too long",IF(COUNTIFS($A$2:$A$1001,A455,$B$2:$B$1001,B455)&gt;1,"Duplicate court name",IF(AND(C455&lt;&gt;"",C455&lt;&gt;"Hard",C455&lt;&gt;"Synthetic",C455&lt;&gt;"Other",C455&lt;&gt;"Not sure"),"Unknown surface",IF(OR(AND(D455&lt;&gt;"Yes",D455&lt;&gt;"No"),AND(E455&lt;&gt;"Yes",E455&lt;&gt;"No"),AND(F455&lt;&gt;"Yes",F455&lt;&gt;"No")),"Use Yes or No","OK")))))))</f>
      </c>
    </row>
    <row r="456">
      <c r="G456" s="4">
        <f>IF(A456="","",IF(COUNTIF(Venues!$A$2:$A$201,A456)=0,"Unknown venue code",IF(OR(B456="",D456="",E456="",F456=""),"Missing details",IF(LEN(B456)&gt;80,"Name too long",IF(COUNTIFS($A$2:$A$1001,A456,$B$2:$B$1001,B456)&gt;1,"Duplicate court name",IF(AND(C456&lt;&gt;"",C456&lt;&gt;"Hard",C456&lt;&gt;"Synthetic",C456&lt;&gt;"Other",C456&lt;&gt;"Not sure"),"Unknown surface",IF(OR(AND(D456&lt;&gt;"Yes",D456&lt;&gt;"No"),AND(E456&lt;&gt;"Yes",E456&lt;&gt;"No"),AND(F456&lt;&gt;"Yes",F456&lt;&gt;"No")),"Use Yes or No","OK")))))))</f>
      </c>
    </row>
    <row r="457">
      <c r="G457" s="4">
        <f>IF(A457="","",IF(COUNTIF(Venues!$A$2:$A$201,A457)=0,"Unknown venue code",IF(OR(B457="",D457="",E457="",F457=""),"Missing details",IF(LEN(B457)&gt;80,"Name too long",IF(COUNTIFS($A$2:$A$1001,A457,$B$2:$B$1001,B457)&gt;1,"Duplicate court name",IF(AND(C457&lt;&gt;"",C457&lt;&gt;"Hard",C457&lt;&gt;"Synthetic",C457&lt;&gt;"Other",C457&lt;&gt;"Not sure"),"Unknown surface",IF(OR(AND(D457&lt;&gt;"Yes",D457&lt;&gt;"No"),AND(E457&lt;&gt;"Yes",E457&lt;&gt;"No"),AND(F457&lt;&gt;"Yes",F457&lt;&gt;"No")),"Use Yes or No","OK")))))))</f>
      </c>
    </row>
    <row r="458">
      <c r="G458" s="4">
        <f>IF(A458="","",IF(COUNTIF(Venues!$A$2:$A$201,A458)=0,"Unknown venue code",IF(OR(B458="",D458="",E458="",F458=""),"Missing details",IF(LEN(B458)&gt;80,"Name too long",IF(COUNTIFS($A$2:$A$1001,A458,$B$2:$B$1001,B458)&gt;1,"Duplicate court name",IF(AND(C458&lt;&gt;"",C458&lt;&gt;"Hard",C458&lt;&gt;"Synthetic",C458&lt;&gt;"Other",C458&lt;&gt;"Not sure"),"Unknown surface",IF(OR(AND(D458&lt;&gt;"Yes",D458&lt;&gt;"No"),AND(E458&lt;&gt;"Yes",E458&lt;&gt;"No"),AND(F458&lt;&gt;"Yes",F458&lt;&gt;"No")),"Use Yes or No","OK")))))))</f>
      </c>
    </row>
    <row r="459">
      <c r="G459" s="4">
        <f>IF(A459="","",IF(COUNTIF(Venues!$A$2:$A$201,A459)=0,"Unknown venue code",IF(OR(B459="",D459="",E459="",F459=""),"Missing details",IF(LEN(B459)&gt;80,"Name too long",IF(COUNTIFS($A$2:$A$1001,A459,$B$2:$B$1001,B459)&gt;1,"Duplicate court name",IF(AND(C459&lt;&gt;"",C459&lt;&gt;"Hard",C459&lt;&gt;"Synthetic",C459&lt;&gt;"Other",C459&lt;&gt;"Not sure"),"Unknown surface",IF(OR(AND(D459&lt;&gt;"Yes",D459&lt;&gt;"No"),AND(E459&lt;&gt;"Yes",E459&lt;&gt;"No"),AND(F459&lt;&gt;"Yes",F459&lt;&gt;"No")),"Use Yes or No","OK")))))))</f>
      </c>
    </row>
    <row r="460">
      <c r="G460" s="4">
        <f>IF(A460="","",IF(COUNTIF(Venues!$A$2:$A$201,A460)=0,"Unknown venue code",IF(OR(B460="",D460="",E460="",F460=""),"Missing details",IF(LEN(B460)&gt;80,"Name too long",IF(COUNTIFS($A$2:$A$1001,A460,$B$2:$B$1001,B460)&gt;1,"Duplicate court name",IF(AND(C460&lt;&gt;"",C460&lt;&gt;"Hard",C460&lt;&gt;"Synthetic",C460&lt;&gt;"Other",C460&lt;&gt;"Not sure"),"Unknown surface",IF(OR(AND(D460&lt;&gt;"Yes",D460&lt;&gt;"No"),AND(E460&lt;&gt;"Yes",E460&lt;&gt;"No"),AND(F460&lt;&gt;"Yes",F460&lt;&gt;"No")),"Use Yes or No","OK")))))))</f>
      </c>
    </row>
    <row r="461">
      <c r="G461" s="4">
        <f>IF(A461="","",IF(COUNTIF(Venues!$A$2:$A$201,A461)=0,"Unknown venue code",IF(OR(B461="",D461="",E461="",F461=""),"Missing details",IF(LEN(B461)&gt;80,"Name too long",IF(COUNTIFS($A$2:$A$1001,A461,$B$2:$B$1001,B461)&gt;1,"Duplicate court name",IF(AND(C461&lt;&gt;"",C461&lt;&gt;"Hard",C461&lt;&gt;"Synthetic",C461&lt;&gt;"Other",C461&lt;&gt;"Not sure"),"Unknown surface",IF(OR(AND(D461&lt;&gt;"Yes",D461&lt;&gt;"No"),AND(E461&lt;&gt;"Yes",E461&lt;&gt;"No"),AND(F461&lt;&gt;"Yes",F461&lt;&gt;"No")),"Use Yes or No","OK")))))))</f>
      </c>
    </row>
    <row r="462">
      <c r="G462" s="4">
        <f>IF(A462="","",IF(COUNTIF(Venues!$A$2:$A$201,A462)=0,"Unknown venue code",IF(OR(B462="",D462="",E462="",F462=""),"Missing details",IF(LEN(B462)&gt;80,"Name too long",IF(COUNTIFS($A$2:$A$1001,A462,$B$2:$B$1001,B462)&gt;1,"Duplicate court name",IF(AND(C462&lt;&gt;"",C462&lt;&gt;"Hard",C462&lt;&gt;"Synthetic",C462&lt;&gt;"Other",C462&lt;&gt;"Not sure"),"Unknown surface",IF(OR(AND(D462&lt;&gt;"Yes",D462&lt;&gt;"No"),AND(E462&lt;&gt;"Yes",E462&lt;&gt;"No"),AND(F462&lt;&gt;"Yes",F462&lt;&gt;"No")),"Use Yes or No","OK")))))))</f>
      </c>
    </row>
    <row r="463">
      <c r="G463" s="4">
        <f>IF(A463="","",IF(COUNTIF(Venues!$A$2:$A$201,A463)=0,"Unknown venue code",IF(OR(B463="",D463="",E463="",F463=""),"Missing details",IF(LEN(B463)&gt;80,"Name too long",IF(COUNTIFS($A$2:$A$1001,A463,$B$2:$B$1001,B463)&gt;1,"Duplicate court name",IF(AND(C463&lt;&gt;"",C463&lt;&gt;"Hard",C463&lt;&gt;"Synthetic",C463&lt;&gt;"Other",C463&lt;&gt;"Not sure"),"Unknown surface",IF(OR(AND(D463&lt;&gt;"Yes",D463&lt;&gt;"No"),AND(E463&lt;&gt;"Yes",E463&lt;&gt;"No"),AND(F463&lt;&gt;"Yes",F463&lt;&gt;"No")),"Use Yes or No","OK")))))))</f>
      </c>
    </row>
    <row r="464">
      <c r="G464" s="4">
        <f>IF(A464="","",IF(COUNTIF(Venues!$A$2:$A$201,A464)=0,"Unknown venue code",IF(OR(B464="",D464="",E464="",F464=""),"Missing details",IF(LEN(B464)&gt;80,"Name too long",IF(COUNTIFS($A$2:$A$1001,A464,$B$2:$B$1001,B464)&gt;1,"Duplicate court name",IF(AND(C464&lt;&gt;"",C464&lt;&gt;"Hard",C464&lt;&gt;"Synthetic",C464&lt;&gt;"Other",C464&lt;&gt;"Not sure"),"Unknown surface",IF(OR(AND(D464&lt;&gt;"Yes",D464&lt;&gt;"No"),AND(E464&lt;&gt;"Yes",E464&lt;&gt;"No"),AND(F464&lt;&gt;"Yes",F464&lt;&gt;"No")),"Use Yes or No","OK")))))))</f>
      </c>
    </row>
    <row r="465">
      <c r="G465" s="4">
        <f>IF(A465="","",IF(COUNTIF(Venues!$A$2:$A$201,A465)=0,"Unknown venue code",IF(OR(B465="",D465="",E465="",F465=""),"Missing details",IF(LEN(B465)&gt;80,"Name too long",IF(COUNTIFS($A$2:$A$1001,A465,$B$2:$B$1001,B465)&gt;1,"Duplicate court name",IF(AND(C465&lt;&gt;"",C465&lt;&gt;"Hard",C465&lt;&gt;"Synthetic",C465&lt;&gt;"Other",C465&lt;&gt;"Not sure"),"Unknown surface",IF(OR(AND(D465&lt;&gt;"Yes",D465&lt;&gt;"No"),AND(E465&lt;&gt;"Yes",E465&lt;&gt;"No"),AND(F465&lt;&gt;"Yes",F465&lt;&gt;"No")),"Use Yes or No","OK")))))))</f>
      </c>
    </row>
    <row r="466">
      <c r="G466" s="4">
        <f>IF(A466="","",IF(COUNTIF(Venues!$A$2:$A$201,A466)=0,"Unknown venue code",IF(OR(B466="",D466="",E466="",F466=""),"Missing details",IF(LEN(B466)&gt;80,"Name too long",IF(COUNTIFS($A$2:$A$1001,A466,$B$2:$B$1001,B466)&gt;1,"Duplicate court name",IF(AND(C466&lt;&gt;"",C466&lt;&gt;"Hard",C466&lt;&gt;"Synthetic",C466&lt;&gt;"Other",C466&lt;&gt;"Not sure"),"Unknown surface",IF(OR(AND(D466&lt;&gt;"Yes",D466&lt;&gt;"No"),AND(E466&lt;&gt;"Yes",E466&lt;&gt;"No"),AND(F466&lt;&gt;"Yes",F466&lt;&gt;"No")),"Use Yes or No","OK")))))))</f>
      </c>
    </row>
    <row r="467">
      <c r="G467" s="4">
        <f>IF(A467="","",IF(COUNTIF(Venues!$A$2:$A$201,A467)=0,"Unknown venue code",IF(OR(B467="",D467="",E467="",F467=""),"Missing details",IF(LEN(B467)&gt;80,"Name too long",IF(COUNTIFS($A$2:$A$1001,A467,$B$2:$B$1001,B467)&gt;1,"Duplicate court name",IF(AND(C467&lt;&gt;"",C467&lt;&gt;"Hard",C467&lt;&gt;"Synthetic",C467&lt;&gt;"Other",C467&lt;&gt;"Not sure"),"Unknown surface",IF(OR(AND(D467&lt;&gt;"Yes",D467&lt;&gt;"No"),AND(E467&lt;&gt;"Yes",E467&lt;&gt;"No"),AND(F467&lt;&gt;"Yes",F467&lt;&gt;"No")),"Use Yes or No","OK")))))))</f>
      </c>
    </row>
    <row r="468">
      <c r="G468" s="4">
        <f>IF(A468="","",IF(COUNTIF(Venues!$A$2:$A$201,A468)=0,"Unknown venue code",IF(OR(B468="",D468="",E468="",F468=""),"Missing details",IF(LEN(B468)&gt;80,"Name too long",IF(COUNTIFS($A$2:$A$1001,A468,$B$2:$B$1001,B468)&gt;1,"Duplicate court name",IF(AND(C468&lt;&gt;"",C468&lt;&gt;"Hard",C468&lt;&gt;"Synthetic",C468&lt;&gt;"Other",C468&lt;&gt;"Not sure"),"Unknown surface",IF(OR(AND(D468&lt;&gt;"Yes",D468&lt;&gt;"No"),AND(E468&lt;&gt;"Yes",E468&lt;&gt;"No"),AND(F468&lt;&gt;"Yes",F468&lt;&gt;"No")),"Use Yes or No","OK")))))))</f>
      </c>
    </row>
    <row r="469">
      <c r="G469" s="4">
        <f>IF(A469="","",IF(COUNTIF(Venues!$A$2:$A$201,A469)=0,"Unknown venue code",IF(OR(B469="",D469="",E469="",F469=""),"Missing details",IF(LEN(B469)&gt;80,"Name too long",IF(COUNTIFS($A$2:$A$1001,A469,$B$2:$B$1001,B469)&gt;1,"Duplicate court name",IF(AND(C469&lt;&gt;"",C469&lt;&gt;"Hard",C469&lt;&gt;"Synthetic",C469&lt;&gt;"Other",C469&lt;&gt;"Not sure"),"Unknown surface",IF(OR(AND(D469&lt;&gt;"Yes",D469&lt;&gt;"No"),AND(E469&lt;&gt;"Yes",E469&lt;&gt;"No"),AND(F469&lt;&gt;"Yes",F469&lt;&gt;"No")),"Use Yes or No","OK")))))))</f>
      </c>
    </row>
    <row r="470">
      <c r="G470" s="4">
        <f>IF(A470="","",IF(COUNTIF(Venues!$A$2:$A$201,A470)=0,"Unknown venue code",IF(OR(B470="",D470="",E470="",F470=""),"Missing details",IF(LEN(B470)&gt;80,"Name too long",IF(COUNTIFS($A$2:$A$1001,A470,$B$2:$B$1001,B470)&gt;1,"Duplicate court name",IF(AND(C470&lt;&gt;"",C470&lt;&gt;"Hard",C470&lt;&gt;"Synthetic",C470&lt;&gt;"Other",C470&lt;&gt;"Not sure"),"Unknown surface",IF(OR(AND(D470&lt;&gt;"Yes",D470&lt;&gt;"No"),AND(E470&lt;&gt;"Yes",E470&lt;&gt;"No"),AND(F470&lt;&gt;"Yes",F470&lt;&gt;"No")),"Use Yes or No","OK")))))))</f>
      </c>
    </row>
    <row r="471">
      <c r="G471" s="4">
        <f>IF(A471="","",IF(COUNTIF(Venues!$A$2:$A$201,A471)=0,"Unknown venue code",IF(OR(B471="",D471="",E471="",F471=""),"Missing details",IF(LEN(B471)&gt;80,"Name too long",IF(COUNTIFS($A$2:$A$1001,A471,$B$2:$B$1001,B471)&gt;1,"Duplicate court name",IF(AND(C471&lt;&gt;"",C471&lt;&gt;"Hard",C471&lt;&gt;"Synthetic",C471&lt;&gt;"Other",C471&lt;&gt;"Not sure"),"Unknown surface",IF(OR(AND(D471&lt;&gt;"Yes",D471&lt;&gt;"No"),AND(E471&lt;&gt;"Yes",E471&lt;&gt;"No"),AND(F471&lt;&gt;"Yes",F471&lt;&gt;"No")),"Use Yes or No","OK")))))))</f>
      </c>
    </row>
    <row r="472">
      <c r="G472" s="4">
        <f>IF(A472="","",IF(COUNTIF(Venues!$A$2:$A$201,A472)=0,"Unknown venue code",IF(OR(B472="",D472="",E472="",F472=""),"Missing details",IF(LEN(B472)&gt;80,"Name too long",IF(COUNTIFS($A$2:$A$1001,A472,$B$2:$B$1001,B472)&gt;1,"Duplicate court name",IF(AND(C472&lt;&gt;"",C472&lt;&gt;"Hard",C472&lt;&gt;"Synthetic",C472&lt;&gt;"Other",C472&lt;&gt;"Not sure"),"Unknown surface",IF(OR(AND(D472&lt;&gt;"Yes",D472&lt;&gt;"No"),AND(E472&lt;&gt;"Yes",E472&lt;&gt;"No"),AND(F472&lt;&gt;"Yes",F472&lt;&gt;"No")),"Use Yes or No","OK")))))))</f>
      </c>
    </row>
    <row r="473">
      <c r="G473" s="4">
        <f>IF(A473="","",IF(COUNTIF(Venues!$A$2:$A$201,A473)=0,"Unknown venue code",IF(OR(B473="",D473="",E473="",F473=""),"Missing details",IF(LEN(B473)&gt;80,"Name too long",IF(COUNTIFS($A$2:$A$1001,A473,$B$2:$B$1001,B473)&gt;1,"Duplicate court name",IF(AND(C473&lt;&gt;"",C473&lt;&gt;"Hard",C473&lt;&gt;"Synthetic",C473&lt;&gt;"Other",C473&lt;&gt;"Not sure"),"Unknown surface",IF(OR(AND(D473&lt;&gt;"Yes",D473&lt;&gt;"No"),AND(E473&lt;&gt;"Yes",E473&lt;&gt;"No"),AND(F473&lt;&gt;"Yes",F473&lt;&gt;"No")),"Use Yes or No","OK")))))))</f>
      </c>
    </row>
    <row r="474">
      <c r="G474" s="4">
        <f>IF(A474="","",IF(COUNTIF(Venues!$A$2:$A$201,A474)=0,"Unknown venue code",IF(OR(B474="",D474="",E474="",F474=""),"Missing details",IF(LEN(B474)&gt;80,"Name too long",IF(COUNTIFS($A$2:$A$1001,A474,$B$2:$B$1001,B474)&gt;1,"Duplicate court name",IF(AND(C474&lt;&gt;"",C474&lt;&gt;"Hard",C474&lt;&gt;"Synthetic",C474&lt;&gt;"Other",C474&lt;&gt;"Not sure"),"Unknown surface",IF(OR(AND(D474&lt;&gt;"Yes",D474&lt;&gt;"No"),AND(E474&lt;&gt;"Yes",E474&lt;&gt;"No"),AND(F474&lt;&gt;"Yes",F474&lt;&gt;"No")),"Use Yes or No","OK")))))))</f>
      </c>
    </row>
    <row r="475">
      <c r="G475" s="4">
        <f>IF(A475="","",IF(COUNTIF(Venues!$A$2:$A$201,A475)=0,"Unknown venue code",IF(OR(B475="",D475="",E475="",F475=""),"Missing details",IF(LEN(B475)&gt;80,"Name too long",IF(COUNTIFS($A$2:$A$1001,A475,$B$2:$B$1001,B475)&gt;1,"Duplicate court name",IF(AND(C475&lt;&gt;"",C475&lt;&gt;"Hard",C475&lt;&gt;"Synthetic",C475&lt;&gt;"Other",C475&lt;&gt;"Not sure"),"Unknown surface",IF(OR(AND(D475&lt;&gt;"Yes",D475&lt;&gt;"No"),AND(E475&lt;&gt;"Yes",E475&lt;&gt;"No"),AND(F475&lt;&gt;"Yes",F475&lt;&gt;"No")),"Use Yes or No","OK")))))))</f>
      </c>
    </row>
    <row r="476">
      <c r="G476" s="4">
        <f>IF(A476="","",IF(COUNTIF(Venues!$A$2:$A$201,A476)=0,"Unknown venue code",IF(OR(B476="",D476="",E476="",F476=""),"Missing details",IF(LEN(B476)&gt;80,"Name too long",IF(COUNTIFS($A$2:$A$1001,A476,$B$2:$B$1001,B476)&gt;1,"Duplicate court name",IF(AND(C476&lt;&gt;"",C476&lt;&gt;"Hard",C476&lt;&gt;"Synthetic",C476&lt;&gt;"Other",C476&lt;&gt;"Not sure"),"Unknown surface",IF(OR(AND(D476&lt;&gt;"Yes",D476&lt;&gt;"No"),AND(E476&lt;&gt;"Yes",E476&lt;&gt;"No"),AND(F476&lt;&gt;"Yes",F476&lt;&gt;"No")),"Use Yes or No","OK")))))))</f>
      </c>
    </row>
    <row r="477">
      <c r="G477" s="4">
        <f>IF(A477="","",IF(COUNTIF(Venues!$A$2:$A$201,A477)=0,"Unknown venue code",IF(OR(B477="",D477="",E477="",F477=""),"Missing details",IF(LEN(B477)&gt;80,"Name too long",IF(COUNTIFS($A$2:$A$1001,A477,$B$2:$B$1001,B477)&gt;1,"Duplicate court name",IF(AND(C477&lt;&gt;"",C477&lt;&gt;"Hard",C477&lt;&gt;"Synthetic",C477&lt;&gt;"Other",C477&lt;&gt;"Not sure"),"Unknown surface",IF(OR(AND(D477&lt;&gt;"Yes",D477&lt;&gt;"No"),AND(E477&lt;&gt;"Yes",E477&lt;&gt;"No"),AND(F477&lt;&gt;"Yes",F477&lt;&gt;"No")),"Use Yes or No","OK")))))))</f>
      </c>
    </row>
    <row r="478">
      <c r="G478" s="4">
        <f>IF(A478="","",IF(COUNTIF(Venues!$A$2:$A$201,A478)=0,"Unknown venue code",IF(OR(B478="",D478="",E478="",F478=""),"Missing details",IF(LEN(B478)&gt;80,"Name too long",IF(COUNTIFS($A$2:$A$1001,A478,$B$2:$B$1001,B478)&gt;1,"Duplicate court name",IF(AND(C478&lt;&gt;"",C478&lt;&gt;"Hard",C478&lt;&gt;"Synthetic",C478&lt;&gt;"Other",C478&lt;&gt;"Not sure"),"Unknown surface",IF(OR(AND(D478&lt;&gt;"Yes",D478&lt;&gt;"No"),AND(E478&lt;&gt;"Yes",E478&lt;&gt;"No"),AND(F478&lt;&gt;"Yes",F478&lt;&gt;"No")),"Use Yes or No","OK")))))))</f>
      </c>
    </row>
    <row r="479">
      <c r="G479" s="4">
        <f>IF(A479="","",IF(COUNTIF(Venues!$A$2:$A$201,A479)=0,"Unknown venue code",IF(OR(B479="",D479="",E479="",F479=""),"Missing details",IF(LEN(B479)&gt;80,"Name too long",IF(COUNTIFS($A$2:$A$1001,A479,$B$2:$B$1001,B479)&gt;1,"Duplicate court name",IF(AND(C479&lt;&gt;"",C479&lt;&gt;"Hard",C479&lt;&gt;"Synthetic",C479&lt;&gt;"Other",C479&lt;&gt;"Not sure"),"Unknown surface",IF(OR(AND(D479&lt;&gt;"Yes",D479&lt;&gt;"No"),AND(E479&lt;&gt;"Yes",E479&lt;&gt;"No"),AND(F479&lt;&gt;"Yes",F479&lt;&gt;"No")),"Use Yes or No","OK")))))))</f>
      </c>
    </row>
    <row r="480">
      <c r="G480" s="4">
        <f>IF(A480="","",IF(COUNTIF(Venues!$A$2:$A$201,A480)=0,"Unknown venue code",IF(OR(B480="",D480="",E480="",F480=""),"Missing details",IF(LEN(B480)&gt;80,"Name too long",IF(COUNTIFS($A$2:$A$1001,A480,$B$2:$B$1001,B480)&gt;1,"Duplicate court name",IF(AND(C480&lt;&gt;"",C480&lt;&gt;"Hard",C480&lt;&gt;"Synthetic",C480&lt;&gt;"Other",C480&lt;&gt;"Not sure"),"Unknown surface",IF(OR(AND(D480&lt;&gt;"Yes",D480&lt;&gt;"No"),AND(E480&lt;&gt;"Yes",E480&lt;&gt;"No"),AND(F480&lt;&gt;"Yes",F480&lt;&gt;"No")),"Use Yes or No","OK")))))))</f>
      </c>
    </row>
    <row r="481">
      <c r="G481" s="4">
        <f>IF(A481="","",IF(COUNTIF(Venues!$A$2:$A$201,A481)=0,"Unknown venue code",IF(OR(B481="",D481="",E481="",F481=""),"Missing details",IF(LEN(B481)&gt;80,"Name too long",IF(COUNTIFS($A$2:$A$1001,A481,$B$2:$B$1001,B481)&gt;1,"Duplicate court name",IF(AND(C481&lt;&gt;"",C481&lt;&gt;"Hard",C481&lt;&gt;"Synthetic",C481&lt;&gt;"Other",C481&lt;&gt;"Not sure"),"Unknown surface",IF(OR(AND(D481&lt;&gt;"Yes",D481&lt;&gt;"No"),AND(E481&lt;&gt;"Yes",E481&lt;&gt;"No"),AND(F481&lt;&gt;"Yes",F481&lt;&gt;"No")),"Use Yes or No","OK")))))))</f>
      </c>
    </row>
    <row r="482">
      <c r="G482" s="4">
        <f>IF(A482="","",IF(COUNTIF(Venues!$A$2:$A$201,A482)=0,"Unknown venue code",IF(OR(B482="",D482="",E482="",F482=""),"Missing details",IF(LEN(B482)&gt;80,"Name too long",IF(COUNTIFS($A$2:$A$1001,A482,$B$2:$B$1001,B482)&gt;1,"Duplicate court name",IF(AND(C482&lt;&gt;"",C482&lt;&gt;"Hard",C482&lt;&gt;"Synthetic",C482&lt;&gt;"Other",C482&lt;&gt;"Not sure"),"Unknown surface",IF(OR(AND(D482&lt;&gt;"Yes",D482&lt;&gt;"No"),AND(E482&lt;&gt;"Yes",E482&lt;&gt;"No"),AND(F482&lt;&gt;"Yes",F482&lt;&gt;"No")),"Use Yes or No","OK")))))))</f>
      </c>
    </row>
    <row r="483">
      <c r="G483" s="4">
        <f>IF(A483="","",IF(COUNTIF(Venues!$A$2:$A$201,A483)=0,"Unknown venue code",IF(OR(B483="",D483="",E483="",F483=""),"Missing details",IF(LEN(B483)&gt;80,"Name too long",IF(COUNTIFS($A$2:$A$1001,A483,$B$2:$B$1001,B483)&gt;1,"Duplicate court name",IF(AND(C483&lt;&gt;"",C483&lt;&gt;"Hard",C483&lt;&gt;"Synthetic",C483&lt;&gt;"Other",C483&lt;&gt;"Not sure"),"Unknown surface",IF(OR(AND(D483&lt;&gt;"Yes",D483&lt;&gt;"No"),AND(E483&lt;&gt;"Yes",E483&lt;&gt;"No"),AND(F483&lt;&gt;"Yes",F483&lt;&gt;"No")),"Use Yes or No","OK")))))))</f>
      </c>
    </row>
    <row r="484">
      <c r="G484" s="4">
        <f>IF(A484="","",IF(COUNTIF(Venues!$A$2:$A$201,A484)=0,"Unknown venue code",IF(OR(B484="",D484="",E484="",F484=""),"Missing details",IF(LEN(B484)&gt;80,"Name too long",IF(COUNTIFS($A$2:$A$1001,A484,$B$2:$B$1001,B484)&gt;1,"Duplicate court name",IF(AND(C484&lt;&gt;"",C484&lt;&gt;"Hard",C484&lt;&gt;"Synthetic",C484&lt;&gt;"Other",C484&lt;&gt;"Not sure"),"Unknown surface",IF(OR(AND(D484&lt;&gt;"Yes",D484&lt;&gt;"No"),AND(E484&lt;&gt;"Yes",E484&lt;&gt;"No"),AND(F484&lt;&gt;"Yes",F484&lt;&gt;"No")),"Use Yes or No","OK")))))))</f>
      </c>
    </row>
    <row r="485">
      <c r="G485" s="4">
        <f>IF(A485="","",IF(COUNTIF(Venues!$A$2:$A$201,A485)=0,"Unknown venue code",IF(OR(B485="",D485="",E485="",F485=""),"Missing details",IF(LEN(B485)&gt;80,"Name too long",IF(COUNTIFS($A$2:$A$1001,A485,$B$2:$B$1001,B485)&gt;1,"Duplicate court name",IF(AND(C485&lt;&gt;"",C485&lt;&gt;"Hard",C485&lt;&gt;"Synthetic",C485&lt;&gt;"Other",C485&lt;&gt;"Not sure"),"Unknown surface",IF(OR(AND(D485&lt;&gt;"Yes",D485&lt;&gt;"No"),AND(E485&lt;&gt;"Yes",E485&lt;&gt;"No"),AND(F485&lt;&gt;"Yes",F485&lt;&gt;"No")),"Use Yes or No","OK")))))))</f>
      </c>
    </row>
    <row r="486">
      <c r="G486" s="4">
        <f>IF(A486="","",IF(COUNTIF(Venues!$A$2:$A$201,A486)=0,"Unknown venue code",IF(OR(B486="",D486="",E486="",F486=""),"Missing details",IF(LEN(B486)&gt;80,"Name too long",IF(COUNTIFS($A$2:$A$1001,A486,$B$2:$B$1001,B486)&gt;1,"Duplicate court name",IF(AND(C486&lt;&gt;"",C486&lt;&gt;"Hard",C486&lt;&gt;"Synthetic",C486&lt;&gt;"Other",C486&lt;&gt;"Not sure"),"Unknown surface",IF(OR(AND(D486&lt;&gt;"Yes",D486&lt;&gt;"No"),AND(E486&lt;&gt;"Yes",E486&lt;&gt;"No"),AND(F486&lt;&gt;"Yes",F486&lt;&gt;"No")),"Use Yes or No","OK")))))))</f>
      </c>
    </row>
    <row r="487">
      <c r="G487" s="4">
        <f>IF(A487="","",IF(COUNTIF(Venues!$A$2:$A$201,A487)=0,"Unknown venue code",IF(OR(B487="",D487="",E487="",F487=""),"Missing details",IF(LEN(B487)&gt;80,"Name too long",IF(COUNTIFS($A$2:$A$1001,A487,$B$2:$B$1001,B487)&gt;1,"Duplicate court name",IF(AND(C487&lt;&gt;"",C487&lt;&gt;"Hard",C487&lt;&gt;"Synthetic",C487&lt;&gt;"Other",C487&lt;&gt;"Not sure"),"Unknown surface",IF(OR(AND(D487&lt;&gt;"Yes",D487&lt;&gt;"No"),AND(E487&lt;&gt;"Yes",E487&lt;&gt;"No"),AND(F487&lt;&gt;"Yes",F487&lt;&gt;"No")),"Use Yes or No","OK")))))))</f>
      </c>
    </row>
    <row r="488">
      <c r="G488" s="4">
        <f>IF(A488="","",IF(COUNTIF(Venues!$A$2:$A$201,A488)=0,"Unknown venue code",IF(OR(B488="",D488="",E488="",F488=""),"Missing details",IF(LEN(B488)&gt;80,"Name too long",IF(COUNTIFS($A$2:$A$1001,A488,$B$2:$B$1001,B488)&gt;1,"Duplicate court name",IF(AND(C488&lt;&gt;"",C488&lt;&gt;"Hard",C488&lt;&gt;"Synthetic",C488&lt;&gt;"Other",C488&lt;&gt;"Not sure"),"Unknown surface",IF(OR(AND(D488&lt;&gt;"Yes",D488&lt;&gt;"No"),AND(E488&lt;&gt;"Yes",E488&lt;&gt;"No"),AND(F488&lt;&gt;"Yes",F488&lt;&gt;"No")),"Use Yes or No","OK")))))))</f>
      </c>
    </row>
    <row r="489">
      <c r="G489" s="4">
        <f>IF(A489="","",IF(COUNTIF(Venues!$A$2:$A$201,A489)=0,"Unknown venue code",IF(OR(B489="",D489="",E489="",F489=""),"Missing details",IF(LEN(B489)&gt;80,"Name too long",IF(COUNTIFS($A$2:$A$1001,A489,$B$2:$B$1001,B489)&gt;1,"Duplicate court name",IF(AND(C489&lt;&gt;"",C489&lt;&gt;"Hard",C489&lt;&gt;"Synthetic",C489&lt;&gt;"Other",C489&lt;&gt;"Not sure"),"Unknown surface",IF(OR(AND(D489&lt;&gt;"Yes",D489&lt;&gt;"No"),AND(E489&lt;&gt;"Yes",E489&lt;&gt;"No"),AND(F489&lt;&gt;"Yes",F489&lt;&gt;"No")),"Use Yes or No","OK")))))))</f>
      </c>
    </row>
    <row r="490">
      <c r="G490" s="4">
        <f>IF(A490="","",IF(COUNTIF(Venues!$A$2:$A$201,A490)=0,"Unknown venue code",IF(OR(B490="",D490="",E490="",F490=""),"Missing details",IF(LEN(B490)&gt;80,"Name too long",IF(COUNTIFS($A$2:$A$1001,A490,$B$2:$B$1001,B490)&gt;1,"Duplicate court name",IF(AND(C490&lt;&gt;"",C490&lt;&gt;"Hard",C490&lt;&gt;"Synthetic",C490&lt;&gt;"Other",C490&lt;&gt;"Not sure"),"Unknown surface",IF(OR(AND(D490&lt;&gt;"Yes",D490&lt;&gt;"No"),AND(E490&lt;&gt;"Yes",E490&lt;&gt;"No"),AND(F490&lt;&gt;"Yes",F490&lt;&gt;"No")),"Use Yes or No","OK")))))))</f>
      </c>
    </row>
    <row r="491">
      <c r="G491" s="4">
        <f>IF(A491="","",IF(COUNTIF(Venues!$A$2:$A$201,A491)=0,"Unknown venue code",IF(OR(B491="",D491="",E491="",F491=""),"Missing details",IF(LEN(B491)&gt;80,"Name too long",IF(COUNTIFS($A$2:$A$1001,A491,$B$2:$B$1001,B491)&gt;1,"Duplicate court name",IF(AND(C491&lt;&gt;"",C491&lt;&gt;"Hard",C491&lt;&gt;"Synthetic",C491&lt;&gt;"Other",C491&lt;&gt;"Not sure"),"Unknown surface",IF(OR(AND(D491&lt;&gt;"Yes",D491&lt;&gt;"No"),AND(E491&lt;&gt;"Yes",E491&lt;&gt;"No"),AND(F491&lt;&gt;"Yes",F491&lt;&gt;"No")),"Use Yes or No","OK")))))))</f>
      </c>
    </row>
    <row r="492">
      <c r="G492" s="4">
        <f>IF(A492="","",IF(COUNTIF(Venues!$A$2:$A$201,A492)=0,"Unknown venue code",IF(OR(B492="",D492="",E492="",F492=""),"Missing details",IF(LEN(B492)&gt;80,"Name too long",IF(COUNTIFS($A$2:$A$1001,A492,$B$2:$B$1001,B492)&gt;1,"Duplicate court name",IF(AND(C492&lt;&gt;"",C492&lt;&gt;"Hard",C492&lt;&gt;"Synthetic",C492&lt;&gt;"Other",C492&lt;&gt;"Not sure"),"Unknown surface",IF(OR(AND(D492&lt;&gt;"Yes",D492&lt;&gt;"No"),AND(E492&lt;&gt;"Yes",E492&lt;&gt;"No"),AND(F492&lt;&gt;"Yes",F492&lt;&gt;"No")),"Use Yes or No","OK")))))))</f>
      </c>
    </row>
    <row r="493">
      <c r="G493" s="4">
        <f>IF(A493="","",IF(COUNTIF(Venues!$A$2:$A$201,A493)=0,"Unknown venue code",IF(OR(B493="",D493="",E493="",F493=""),"Missing details",IF(LEN(B493)&gt;80,"Name too long",IF(COUNTIFS($A$2:$A$1001,A493,$B$2:$B$1001,B493)&gt;1,"Duplicate court name",IF(AND(C493&lt;&gt;"",C493&lt;&gt;"Hard",C493&lt;&gt;"Synthetic",C493&lt;&gt;"Other",C493&lt;&gt;"Not sure"),"Unknown surface",IF(OR(AND(D493&lt;&gt;"Yes",D493&lt;&gt;"No"),AND(E493&lt;&gt;"Yes",E493&lt;&gt;"No"),AND(F493&lt;&gt;"Yes",F493&lt;&gt;"No")),"Use Yes or No","OK")))))))</f>
      </c>
    </row>
    <row r="494">
      <c r="G494" s="4">
        <f>IF(A494="","",IF(COUNTIF(Venues!$A$2:$A$201,A494)=0,"Unknown venue code",IF(OR(B494="",D494="",E494="",F494=""),"Missing details",IF(LEN(B494)&gt;80,"Name too long",IF(COUNTIFS($A$2:$A$1001,A494,$B$2:$B$1001,B494)&gt;1,"Duplicate court name",IF(AND(C494&lt;&gt;"",C494&lt;&gt;"Hard",C494&lt;&gt;"Synthetic",C494&lt;&gt;"Other",C494&lt;&gt;"Not sure"),"Unknown surface",IF(OR(AND(D494&lt;&gt;"Yes",D494&lt;&gt;"No"),AND(E494&lt;&gt;"Yes",E494&lt;&gt;"No"),AND(F494&lt;&gt;"Yes",F494&lt;&gt;"No")),"Use Yes or No","OK")))))))</f>
      </c>
    </row>
    <row r="495">
      <c r="G495" s="4">
        <f>IF(A495="","",IF(COUNTIF(Venues!$A$2:$A$201,A495)=0,"Unknown venue code",IF(OR(B495="",D495="",E495="",F495=""),"Missing details",IF(LEN(B495)&gt;80,"Name too long",IF(COUNTIFS($A$2:$A$1001,A495,$B$2:$B$1001,B495)&gt;1,"Duplicate court name",IF(AND(C495&lt;&gt;"",C495&lt;&gt;"Hard",C495&lt;&gt;"Synthetic",C495&lt;&gt;"Other",C495&lt;&gt;"Not sure"),"Unknown surface",IF(OR(AND(D495&lt;&gt;"Yes",D495&lt;&gt;"No"),AND(E495&lt;&gt;"Yes",E495&lt;&gt;"No"),AND(F495&lt;&gt;"Yes",F495&lt;&gt;"No")),"Use Yes or No","OK")))))))</f>
      </c>
    </row>
    <row r="496">
      <c r="G496" s="4">
        <f>IF(A496="","",IF(COUNTIF(Venues!$A$2:$A$201,A496)=0,"Unknown venue code",IF(OR(B496="",D496="",E496="",F496=""),"Missing details",IF(LEN(B496)&gt;80,"Name too long",IF(COUNTIFS($A$2:$A$1001,A496,$B$2:$B$1001,B496)&gt;1,"Duplicate court name",IF(AND(C496&lt;&gt;"",C496&lt;&gt;"Hard",C496&lt;&gt;"Synthetic",C496&lt;&gt;"Other",C496&lt;&gt;"Not sure"),"Unknown surface",IF(OR(AND(D496&lt;&gt;"Yes",D496&lt;&gt;"No"),AND(E496&lt;&gt;"Yes",E496&lt;&gt;"No"),AND(F496&lt;&gt;"Yes",F496&lt;&gt;"No")),"Use Yes or No","OK")))))))</f>
      </c>
    </row>
    <row r="497">
      <c r="G497" s="4">
        <f>IF(A497="","",IF(COUNTIF(Venues!$A$2:$A$201,A497)=0,"Unknown venue code",IF(OR(B497="",D497="",E497="",F497=""),"Missing details",IF(LEN(B497)&gt;80,"Name too long",IF(COUNTIFS($A$2:$A$1001,A497,$B$2:$B$1001,B497)&gt;1,"Duplicate court name",IF(AND(C497&lt;&gt;"",C497&lt;&gt;"Hard",C497&lt;&gt;"Synthetic",C497&lt;&gt;"Other",C497&lt;&gt;"Not sure"),"Unknown surface",IF(OR(AND(D497&lt;&gt;"Yes",D497&lt;&gt;"No"),AND(E497&lt;&gt;"Yes",E497&lt;&gt;"No"),AND(F497&lt;&gt;"Yes",F497&lt;&gt;"No")),"Use Yes or No","OK")))))))</f>
      </c>
    </row>
    <row r="498">
      <c r="G498" s="4">
        <f>IF(A498="","",IF(COUNTIF(Venues!$A$2:$A$201,A498)=0,"Unknown venue code",IF(OR(B498="",D498="",E498="",F498=""),"Missing details",IF(LEN(B498)&gt;80,"Name too long",IF(COUNTIFS($A$2:$A$1001,A498,$B$2:$B$1001,B498)&gt;1,"Duplicate court name",IF(AND(C498&lt;&gt;"",C498&lt;&gt;"Hard",C498&lt;&gt;"Synthetic",C498&lt;&gt;"Other",C498&lt;&gt;"Not sure"),"Unknown surface",IF(OR(AND(D498&lt;&gt;"Yes",D498&lt;&gt;"No"),AND(E498&lt;&gt;"Yes",E498&lt;&gt;"No"),AND(F498&lt;&gt;"Yes",F498&lt;&gt;"No")),"Use Yes or No","OK")))))))</f>
      </c>
    </row>
    <row r="499">
      <c r="G499" s="4">
        <f>IF(A499="","",IF(COUNTIF(Venues!$A$2:$A$201,A499)=0,"Unknown venue code",IF(OR(B499="",D499="",E499="",F499=""),"Missing details",IF(LEN(B499)&gt;80,"Name too long",IF(COUNTIFS($A$2:$A$1001,A499,$B$2:$B$1001,B499)&gt;1,"Duplicate court name",IF(AND(C499&lt;&gt;"",C499&lt;&gt;"Hard",C499&lt;&gt;"Synthetic",C499&lt;&gt;"Other",C499&lt;&gt;"Not sure"),"Unknown surface",IF(OR(AND(D499&lt;&gt;"Yes",D499&lt;&gt;"No"),AND(E499&lt;&gt;"Yes",E499&lt;&gt;"No"),AND(F499&lt;&gt;"Yes",F499&lt;&gt;"No")),"Use Yes or No","OK")))))))</f>
      </c>
    </row>
    <row r="500">
      <c r="G500" s="4">
        <f>IF(A500="","",IF(COUNTIF(Venues!$A$2:$A$201,A500)=0,"Unknown venue code",IF(OR(B500="",D500="",E500="",F500=""),"Missing details",IF(LEN(B500)&gt;80,"Name too long",IF(COUNTIFS($A$2:$A$1001,A500,$B$2:$B$1001,B500)&gt;1,"Duplicate court name",IF(AND(C500&lt;&gt;"",C500&lt;&gt;"Hard",C500&lt;&gt;"Synthetic",C500&lt;&gt;"Other",C500&lt;&gt;"Not sure"),"Unknown surface",IF(OR(AND(D500&lt;&gt;"Yes",D500&lt;&gt;"No"),AND(E500&lt;&gt;"Yes",E500&lt;&gt;"No"),AND(F500&lt;&gt;"Yes",F500&lt;&gt;"No")),"Use Yes or No","OK")))))))</f>
      </c>
    </row>
    <row r="501">
      <c r="G501" s="4">
        <f>IF(A501="","",IF(COUNTIF(Venues!$A$2:$A$201,A501)=0,"Unknown venue code",IF(OR(B501="",D501="",E501="",F501=""),"Missing details",IF(LEN(B501)&gt;80,"Name too long",IF(COUNTIFS($A$2:$A$1001,A501,$B$2:$B$1001,B501)&gt;1,"Duplicate court name",IF(AND(C501&lt;&gt;"",C501&lt;&gt;"Hard",C501&lt;&gt;"Synthetic",C501&lt;&gt;"Other",C501&lt;&gt;"Not sure"),"Unknown surface",IF(OR(AND(D501&lt;&gt;"Yes",D501&lt;&gt;"No"),AND(E501&lt;&gt;"Yes",E501&lt;&gt;"No"),AND(F501&lt;&gt;"Yes",F501&lt;&gt;"No")),"Use Yes or No","OK")))))))</f>
      </c>
    </row>
    <row r="502">
      <c r="G502" s="4">
        <f>IF(A502="","",IF(COUNTIF(Venues!$A$2:$A$201,A502)=0,"Unknown venue code",IF(OR(B502="",D502="",E502="",F502=""),"Missing details",IF(LEN(B502)&gt;80,"Name too long",IF(COUNTIFS($A$2:$A$1001,A502,$B$2:$B$1001,B502)&gt;1,"Duplicate court name",IF(AND(C502&lt;&gt;"",C502&lt;&gt;"Hard",C502&lt;&gt;"Synthetic",C502&lt;&gt;"Other",C502&lt;&gt;"Not sure"),"Unknown surface",IF(OR(AND(D502&lt;&gt;"Yes",D502&lt;&gt;"No"),AND(E502&lt;&gt;"Yes",E502&lt;&gt;"No"),AND(F502&lt;&gt;"Yes",F502&lt;&gt;"No")),"Use Yes or No","OK")))))))</f>
      </c>
    </row>
    <row r="503">
      <c r="G503" s="4">
        <f>IF(A503="","",IF(COUNTIF(Venues!$A$2:$A$201,A503)=0,"Unknown venue code",IF(OR(B503="",D503="",E503="",F503=""),"Missing details",IF(LEN(B503)&gt;80,"Name too long",IF(COUNTIFS($A$2:$A$1001,A503,$B$2:$B$1001,B503)&gt;1,"Duplicate court name",IF(AND(C503&lt;&gt;"",C503&lt;&gt;"Hard",C503&lt;&gt;"Synthetic",C503&lt;&gt;"Other",C503&lt;&gt;"Not sure"),"Unknown surface",IF(OR(AND(D503&lt;&gt;"Yes",D503&lt;&gt;"No"),AND(E503&lt;&gt;"Yes",E503&lt;&gt;"No"),AND(F503&lt;&gt;"Yes",F503&lt;&gt;"No")),"Use Yes or No","OK")))))))</f>
      </c>
    </row>
    <row r="504">
      <c r="G504" s="4">
        <f>IF(A504="","",IF(COUNTIF(Venues!$A$2:$A$201,A504)=0,"Unknown venue code",IF(OR(B504="",D504="",E504="",F504=""),"Missing details",IF(LEN(B504)&gt;80,"Name too long",IF(COUNTIFS($A$2:$A$1001,A504,$B$2:$B$1001,B504)&gt;1,"Duplicate court name",IF(AND(C504&lt;&gt;"",C504&lt;&gt;"Hard",C504&lt;&gt;"Synthetic",C504&lt;&gt;"Other",C504&lt;&gt;"Not sure"),"Unknown surface",IF(OR(AND(D504&lt;&gt;"Yes",D504&lt;&gt;"No"),AND(E504&lt;&gt;"Yes",E504&lt;&gt;"No"),AND(F504&lt;&gt;"Yes",F504&lt;&gt;"No")),"Use Yes or No","OK")))))))</f>
      </c>
    </row>
    <row r="505">
      <c r="G505" s="4">
        <f>IF(A505="","",IF(COUNTIF(Venues!$A$2:$A$201,A505)=0,"Unknown venue code",IF(OR(B505="",D505="",E505="",F505=""),"Missing details",IF(LEN(B505)&gt;80,"Name too long",IF(COUNTIFS($A$2:$A$1001,A505,$B$2:$B$1001,B505)&gt;1,"Duplicate court name",IF(AND(C505&lt;&gt;"",C505&lt;&gt;"Hard",C505&lt;&gt;"Synthetic",C505&lt;&gt;"Other",C505&lt;&gt;"Not sure"),"Unknown surface",IF(OR(AND(D505&lt;&gt;"Yes",D505&lt;&gt;"No"),AND(E505&lt;&gt;"Yes",E505&lt;&gt;"No"),AND(F505&lt;&gt;"Yes",F505&lt;&gt;"No")),"Use Yes or No","OK")))))))</f>
      </c>
    </row>
    <row r="506">
      <c r="G506" s="4">
        <f>IF(A506="","",IF(COUNTIF(Venues!$A$2:$A$201,A506)=0,"Unknown venue code",IF(OR(B506="",D506="",E506="",F506=""),"Missing details",IF(LEN(B506)&gt;80,"Name too long",IF(COUNTIFS($A$2:$A$1001,A506,$B$2:$B$1001,B506)&gt;1,"Duplicate court name",IF(AND(C506&lt;&gt;"",C506&lt;&gt;"Hard",C506&lt;&gt;"Synthetic",C506&lt;&gt;"Other",C506&lt;&gt;"Not sure"),"Unknown surface",IF(OR(AND(D506&lt;&gt;"Yes",D506&lt;&gt;"No"),AND(E506&lt;&gt;"Yes",E506&lt;&gt;"No"),AND(F506&lt;&gt;"Yes",F506&lt;&gt;"No")),"Use Yes or No","OK")))))))</f>
      </c>
    </row>
    <row r="507">
      <c r="G507" s="4">
        <f>IF(A507="","",IF(COUNTIF(Venues!$A$2:$A$201,A507)=0,"Unknown venue code",IF(OR(B507="",D507="",E507="",F507=""),"Missing details",IF(LEN(B507)&gt;80,"Name too long",IF(COUNTIFS($A$2:$A$1001,A507,$B$2:$B$1001,B507)&gt;1,"Duplicate court name",IF(AND(C507&lt;&gt;"",C507&lt;&gt;"Hard",C507&lt;&gt;"Synthetic",C507&lt;&gt;"Other",C507&lt;&gt;"Not sure"),"Unknown surface",IF(OR(AND(D507&lt;&gt;"Yes",D507&lt;&gt;"No"),AND(E507&lt;&gt;"Yes",E507&lt;&gt;"No"),AND(F507&lt;&gt;"Yes",F507&lt;&gt;"No")),"Use Yes or No","OK")))))))</f>
      </c>
    </row>
    <row r="508">
      <c r="G508" s="4">
        <f>IF(A508="","",IF(COUNTIF(Venues!$A$2:$A$201,A508)=0,"Unknown venue code",IF(OR(B508="",D508="",E508="",F508=""),"Missing details",IF(LEN(B508)&gt;80,"Name too long",IF(COUNTIFS($A$2:$A$1001,A508,$B$2:$B$1001,B508)&gt;1,"Duplicate court name",IF(AND(C508&lt;&gt;"",C508&lt;&gt;"Hard",C508&lt;&gt;"Synthetic",C508&lt;&gt;"Other",C508&lt;&gt;"Not sure"),"Unknown surface",IF(OR(AND(D508&lt;&gt;"Yes",D508&lt;&gt;"No"),AND(E508&lt;&gt;"Yes",E508&lt;&gt;"No"),AND(F508&lt;&gt;"Yes",F508&lt;&gt;"No")),"Use Yes or No","OK")))))))</f>
      </c>
    </row>
    <row r="509">
      <c r="G509" s="4">
        <f>IF(A509="","",IF(COUNTIF(Venues!$A$2:$A$201,A509)=0,"Unknown venue code",IF(OR(B509="",D509="",E509="",F509=""),"Missing details",IF(LEN(B509)&gt;80,"Name too long",IF(COUNTIFS($A$2:$A$1001,A509,$B$2:$B$1001,B509)&gt;1,"Duplicate court name",IF(AND(C509&lt;&gt;"",C509&lt;&gt;"Hard",C509&lt;&gt;"Synthetic",C509&lt;&gt;"Other",C509&lt;&gt;"Not sure"),"Unknown surface",IF(OR(AND(D509&lt;&gt;"Yes",D509&lt;&gt;"No"),AND(E509&lt;&gt;"Yes",E509&lt;&gt;"No"),AND(F509&lt;&gt;"Yes",F509&lt;&gt;"No")),"Use Yes or No","OK")))))))</f>
      </c>
    </row>
    <row r="510">
      <c r="G510" s="4">
        <f>IF(A510="","",IF(COUNTIF(Venues!$A$2:$A$201,A510)=0,"Unknown venue code",IF(OR(B510="",D510="",E510="",F510=""),"Missing details",IF(LEN(B510)&gt;80,"Name too long",IF(COUNTIFS($A$2:$A$1001,A510,$B$2:$B$1001,B510)&gt;1,"Duplicate court name",IF(AND(C510&lt;&gt;"",C510&lt;&gt;"Hard",C510&lt;&gt;"Synthetic",C510&lt;&gt;"Other",C510&lt;&gt;"Not sure"),"Unknown surface",IF(OR(AND(D510&lt;&gt;"Yes",D510&lt;&gt;"No"),AND(E510&lt;&gt;"Yes",E510&lt;&gt;"No"),AND(F510&lt;&gt;"Yes",F510&lt;&gt;"No")),"Use Yes or No","OK")))))))</f>
      </c>
    </row>
    <row r="511">
      <c r="G511" s="4">
        <f>IF(A511="","",IF(COUNTIF(Venues!$A$2:$A$201,A511)=0,"Unknown venue code",IF(OR(B511="",D511="",E511="",F511=""),"Missing details",IF(LEN(B511)&gt;80,"Name too long",IF(COUNTIFS($A$2:$A$1001,A511,$B$2:$B$1001,B511)&gt;1,"Duplicate court name",IF(AND(C511&lt;&gt;"",C511&lt;&gt;"Hard",C511&lt;&gt;"Synthetic",C511&lt;&gt;"Other",C511&lt;&gt;"Not sure"),"Unknown surface",IF(OR(AND(D511&lt;&gt;"Yes",D511&lt;&gt;"No"),AND(E511&lt;&gt;"Yes",E511&lt;&gt;"No"),AND(F511&lt;&gt;"Yes",F511&lt;&gt;"No")),"Use Yes or No","OK")))))))</f>
      </c>
    </row>
    <row r="512">
      <c r="G512" s="4">
        <f>IF(A512="","",IF(COUNTIF(Venues!$A$2:$A$201,A512)=0,"Unknown venue code",IF(OR(B512="",D512="",E512="",F512=""),"Missing details",IF(LEN(B512)&gt;80,"Name too long",IF(COUNTIFS($A$2:$A$1001,A512,$B$2:$B$1001,B512)&gt;1,"Duplicate court name",IF(AND(C512&lt;&gt;"",C512&lt;&gt;"Hard",C512&lt;&gt;"Synthetic",C512&lt;&gt;"Other",C512&lt;&gt;"Not sure"),"Unknown surface",IF(OR(AND(D512&lt;&gt;"Yes",D512&lt;&gt;"No"),AND(E512&lt;&gt;"Yes",E512&lt;&gt;"No"),AND(F512&lt;&gt;"Yes",F512&lt;&gt;"No")),"Use Yes or No","OK")))))))</f>
      </c>
    </row>
    <row r="513">
      <c r="G513" s="4">
        <f>IF(A513="","",IF(COUNTIF(Venues!$A$2:$A$201,A513)=0,"Unknown venue code",IF(OR(B513="",D513="",E513="",F513=""),"Missing details",IF(LEN(B513)&gt;80,"Name too long",IF(COUNTIFS($A$2:$A$1001,A513,$B$2:$B$1001,B513)&gt;1,"Duplicate court name",IF(AND(C513&lt;&gt;"",C513&lt;&gt;"Hard",C513&lt;&gt;"Synthetic",C513&lt;&gt;"Other",C513&lt;&gt;"Not sure"),"Unknown surface",IF(OR(AND(D513&lt;&gt;"Yes",D513&lt;&gt;"No"),AND(E513&lt;&gt;"Yes",E513&lt;&gt;"No"),AND(F513&lt;&gt;"Yes",F513&lt;&gt;"No")),"Use Yes or No","OK")))))))</f>
      </c>
    </row>
    <row r="514">
      <c r="G514" s="4">
        <f>IF(A514="","",IF(COUNTIF(Venues!$A$2:$A$201,A514)=0,"Unknown venue code",IF(OR(B514="",D514="",E514="",F514=""),"Missing details",IF(LEN(B514)&gt;80,"Name too long",IF(COUNTIFS($A$2:$A$1001,A514,$B$2:$B$1001,B514)&gt;1,"Duplicate court name",IF(AND(C514&lt;&gt;"",C514&lt;&gt;"Hard",C514&lt;&gt;"Synthetic",C514&lt;&gt;"Other",C514&lt;&gt;"Not sure"),"Unknown surface",IF(OR(AND(D514&lt;&gt;"Yes",D514&lt;&gt;"No"),AND(E514&lt;&gt;"Yes",E514&lt;&gt;"No"),AND(F514&lt;&gt;"Yes",F514&lt;&gt;"No")),"Use Yes or No","OK")))))))</f>
      </c>
    </row>
    <row r="515">
      <c r="G515" s="4">
        <f>IF(A515="","",IF(COUNTIF(Venues!$A$2:$A$201,A515)=0,"Unknown venue code",IF(OR(B515="",D515="",E515="",F515=""),"Missing details",IF(LEN(B515)&gt;80,"Name too long",IF(COUNTIFS($A$2:$A$1001,A515,$B$2:$B$1001,B515)&gt;1,"Duplicate court name",IF(AND(C515&lt;&gt;"",C515&lt;&gt;"Hard",C515&lt;&gt;"Synthetic",C515&lt;&gt;"Other",C515&lt;&gt;"Not sure"),"Unknown surface",IF(OR(AND(D515&lt;&gt;"Yes",D515&lt;&gt;"No"),AND(E515&lt;&gt;"Yes",E515&lt;&gt;"No"),AND(F515&lt;&gt;"Yes",F515&lt;&gt;"No")),"Use Yes or No","OK")))))))</f>
      </c>
    </row>
    <row r="516">
      <c r="G516" s="4">
        <f>IF(A516="","",IF(COUNTIF(Venues!$A$2:$A$201,A516)=0,"Unknown venue code",IF(OR(B516="",D516="",E516="",F516=""),"Missing details",IF(LEN(B516)&gt;80,"Name too long",IF(COUNTIFS($A$2:$A$1001,A516,$B$2:$B$1001,B516)&gt;1,"Duplicate court name",IF(AND(C516&lt;&gt;"",C516&lt;&gt;"Hard",C516&lt;&gt;"Synthetic",C516&lt;&gt;"Other",C516&lt;&gt;"Not sure"),"Unknown surface",IF(OR(AND(D516&lt;&gt;"Yes",D516&lt;&gt;"No"),AND(E516&lt;&gt;"Yes",E516&lt;&gt;"No"),AND(F516&lt;&gt;"Yes",F516&lt;&gt;"No")),"Use Yes or No","OK")))))))</f>
      </c>
    </row>
    <row r="517">
      <c r="G517" s="4">
        <f>IF(A517="","",IF(COUNTIF(Venues!$A$2:$A$201,A517)=0,"Unknown venue code",IF(OR(B517="",D517="",E517="",F517=""),"Missing details",IF(LEN(B517)&gt;80,"Name too long",IF(COUNTIFS($A$2:$A$1001,A517,$B$2:$B$1001,B517)&gt;1,"Duplicate court name",IF(AND(C517&lt;&gt;"",C517&lt;&gt;"Hard",C517&lt;&gt;"Synthetic",C517&lt;&gt;"Other",C517&lt;&gt;"Not sure"),"Unknown surface",IF(OR(AND(D517&lt;&gt;"Yes",D517&lt;&gt;"No"),AND(E517&lt;&gt;"Yes",E517&lt;&gt;"No"),AND(F517&lt;&gt;"Yes",F517&lt;&gt;"No")),"Use Yes or No","OK")))))))</f>
      </c>
    </row>
    <row r="518">
      <c r="G518" s="4">
        <f>IF(A518="","",IF(COUNTIF(Venues!$A$2:$A$201,A518)=0,"Unknown venue code",IF(OR(B518="",D518="",E518="",F518=""),"Missing details",IF(LEN(B518)&gt;80,"Name too long",IF(COUNTIFS($A$2:$A$1001,A518,$B$2:$B$1001,B518)&gt;1,"Duplicate court name",IF(AND(C518&lt;&gt;"",C518&lt;&gt;"Hard",C518&lt;&gt;"Synthetic",C518&lt;&gt;"Other",C518&lt;&gt;"Not sure"),"Unknown surface",IF(OR(AND(D518&lt;&gt;"Yes",D518&lt;&gt;"No"),AND(E518&lt;&gt;"Yes",E518&lt;&gt;"No"),AND(F518&lt;&gt;"Yes",F518&lt;&gt;"No")),"Use Yes or No","OK")))))))</f>
      </c>
    </row>
    <row r="519">
      <c r="G519" s="4">
        <f>IF(A519="","",IF(COUNTIF(Venues!$A$2:$A$201,A519)=0,"Unknown venue code",IF(OR(B519="",D519="",E519="",F519=""),"Missing details",IF(LEN(B519)&gt;80,"Name too long",IF(COUNTIFS($A$2:$A$1001,A519,$B$2:$B$1001,B519)&gt;1,"Duplicate court name",IF(AND(C519&lt;&gt;"",C519&lt;&gt;"Hard",C519&lt;&gt;"Synthetic",C519&lt;&gt;"Other",C519&lt;&gt;"Not sure"),"Unknown surface",IF(OR(AND(D519&lt;&gt;"Yes",D519&lt;&gt;"No"),AND(E519&lt;&gt;"Yes",E519&lt;&gt;"No"),AND(F519&lt;&gt;"Yes",F519&lt;&gt;"No")),"Use Yes or No","OK")))))))</f>
      </c>
    </row>
    <row r="520">
      <c r="G520" s="4">
        <f>IF(A520="","",IF(COUNTIF(Venues!$A$2:$A$201,A520)=0,"Unknown venue code",IF(OR(B520="",D520="",E520="",F520=""),"Missing details",IF(LEN(B520)&gt;80,"Name too long",IF(COUNTIFS($A$2:$A$1001,A520,$B$2:$B$1001,B520)&gt;1,"Duplicate court name",IF(AND(C520&lt;&gt;"",C520&lt;&gt;"Hard",C520&lt;&gt;"Synthetic",C520&lt;&gt;"Other",C520&lt;&gt;"Not sure"),"Unknown surface",IF(OR(AND(D520&lt;&gt;"Yes",D520&lt;&gt;"No"),AND(E520&lt;&gt;"Yes",E520&lt;&gt;"No"),AND(F520&lt;&gt;"Yes",F520&lt;&gt;"No")),"Use Yes or No","OK")))))))</f>
      </c>
    </row>
    <row r="521">
      <c r="G521" s="4">
        <f>IF(A521="","",IF(COUNTIF(Venues!$A$2:$A$201,A521)=0,"Unknown venue code",IF(OR(B521="",D521="",E521="",F521=""),"Missing details",IF(LEN(B521)&gt;80,"Name too long",IF(COUNTIFS($A$2:$A$1001,A521,$B$2:$B$1001,B521)&gt;1,"Duplicate court name",IF(AND(C521&lt;&gt;"",C521&lt;&gt;"Hard",C521&lt;&gt;"Synthetic",C521&lt;&gt;"Other",C521&lt;&gt;"Not sure"),"Unknown surface",IF(OR(AND(D521&lt;&gt;"Yes",D521&lt;&gt;"No"),AND(E521&lt;&gt;"Yes",E521&lt;&gt;"No"),AND(F521&lt;&gt;"Yes",F521&lt;&gt;"No")),"Use Yes or No","OK")))))))</f>
      </c>
    </row>
    <row r="522">
      <c r="G522" s="4">
        <f>IF(A522="","",IF(COUNTIF(Venues!$A$2:$A$201,A522)=0,"Unknown venue code",IF(OR(B522="",D522="",E522="",F522=""),"Missing details",IF(LEN(B522)&gt;80,"Name too long",IF(COUNTIFS($A$2:$A$1001,A522,$B$2:$B$1001,B522)&gt;1,"Duplicate court name",IF(AND(C522&lt;&gt;"",C522&lt;&gt;"Hard",C522&lt;&gt;"Synthetic",C522&lt;&gt;"Other",C522&lt;&gt;"Not sure"),"Unknown surface",IF(OR(AND(D522&lt;&gt;"Yes",D522&lt;&gt;"No"),AND(E522&lt;&gt;"Yes",E522&lt;&gt;"No"),AND(F522&lt;&gt;"Yes",F522&lt;&gt;"No")),"Use Yes or No","OK")))))))</f>
      </c>
    </row>
    <row r="523">
      <c r="G523" s="4">
        <f>IF(A523="","",IF(COUNTIF(Venues!$A$2:$A$201,A523)=0,"Unknown venue code",IF(OR(B523="",D523="",E523="",F523=""),"Missing details",IF(LEN(B523)&gt;80,"Name too long",IF(COUNTIFS($A$2:$A$1001,A523,$B$2:$B$1001,B523)&gt;1,"Duplicate court name",IF(AND(C523&lt;&gt;"",C523&lt;&gt;"Hard",C523&lt;&gt;"Synthetic",C523&lt;&gt;"Other",C523&lt;&gt;"Not sure"),"Unknown surface",IF(OR(AND(D523&lt;&gt;"Yes",D523&lt;&gt;"No"),AND(E523&lt;&gt;"Yes",E523&lt;&gt;"No"),AND(F523&lt;&gt;"Yes",F523&lt;&gt;"No")),"Use Yes or No","OK")))))))</f>
      </c>
    </row>
    <row r="524">
      <c r="G524" s="4">
        <f>IF(A524="","",IF(COUNTIF(Venues!$A$2:$A$201,A524)=0,"Unknown venue code",IF(OR(B524="",D524="",E524="",F524=""),"Missing details",IF(LEN(B524)&gt;80,"Name too long",IF(COUNTIFS($A$2:$A$1001,A524,$B$2:$B$1001,B524)&gt;1,"Duplicate court name",IF(AND(C524&lt;&gt;"",C524&lt;&gt;"Hard",C524&lt;&gt;"Synthetic",C524&lt;&gt;"Other",C524&lt;&gt;"Not sure"),"Unknown surface",IF(OR(AND(D524&lt;&gt;"Yes",D524&lt;&gt;"No"),AND(E524&lt;&gt;"Yes",E524&lt;&gt;"No"),AND(F524&lt;&gt;"Yes",F524&lt;&gt;"No")),"Use Yes or No","OK")))))))</f>
      </c>
    </row>
    <row r="525">
      <c r="G525" s="4">
        <f>IF(A525="","",IF(COUNTIF(Venues!$A$2:$A$201,A525)=0,"Unknown venue code",IF(OR(B525="",D525="",E525="",F525=""),"Missing details",IF(LEN(B525)&gt;80,"Name too long",IF(COUNTIFS($A$2:$A$1001,A525,$B$2:$B$1001,B525)&gt;1,"Duplicate court name",IF(AND(C525&lt;&gt;"",C525&lt;&gt;"Hard",C525&lt;&gt;"Synthetic",C525&lt;&gt;"Other",C525&lt;&gt;"Not sure"),"Unknown surface",IF(OR(AND(D525&lt;&gt;"Yes",D525&lt;&gt;"No"),AND(E525&lt;&gt;"Yes",E525&lt;&gt;"No"),AND(F525&lt;&gt;"Yes",F525&lt;&gt;"No")),"Use Yes or No","OK")))))))</f>
      </c>
    </row>
    <row r="526">
      <c r="G526" s="4">
        <f>IF(A526="","",IF(COUNTIF(Venues!$A$2:$A$201,A526)=0,"Unknown venue code",IF(OR(B526="",D526="",E526="",F526=""),"Missing details",IF(LEN(B526)&gt;80,"Name too long",IF(COUNTIFS($A$2:$A$1001,A526,$B$2:$B$1001,B526)&gt;1,"Duplicate court name",IF(AND(C526&lt;&gt;"",C526&lt;&gt;"Hard",C526&lt;&gt;"Synthetic",C526&lt;&gt;"Other",C526&lt;&gt;"Not sure"),"Unknown surface",IF(OR(AND(D526&lt;&gt;"Yes",D526&lt;&gt;"No"),AND(E526&lt;&gt;"Yes",E526&lt;&gt;"No"),AND(F526&lt;&gt;"Yes",F526&lt;&gt;"No")),"Use Yes or No","OK")))))))</f>
      </c>
    </row>
    <row r="527">
      <c r="G527" s="4">
        <f>IF(A527="","",IF(COUNTIF(Venues!$A$2:$A$201,A527)=0,"Unknown venue code",IF(OR(B527="",D527="",E527="",F527=""),"Missing details",IF(LEN(B527)&gt;80,"Name too long",IF(COUNTIFS($A$2:$A$1001,A527,$B$2:$B$1001,B527)&gt;1,"Duplicate court name",IF(AND(C527&lt;&gt;"",C527&lt;&gt;"Hard",C527&lt;&gt;"Synthetic",C527&lt;&gt;"Other",C527&lt;&gt;"Not sure"),"Unknown surface",IF(OR(AND(D527&lt;&gt;"Yes",D527&lt;&gt;"No"),AND(E527&lt;&gt;"Yes",E527&lt;&gt;"No"),AND(F527&lt;&gt;"Yes",F527&lt;&gt;"No")),"Use Yes or No","OK")))))))</f>
      </c>
    </row>
    <row r="528">
      <c r="G528" s="4">
        <f>IF(A528="","",IF(COUNTIF(Venues!$A$2:$A$201,A528)=0,"Unknown venue code",IF(OR(B528="",D528="",E528="",F528=""),"Missing details",IF(LEN(B528)&gt;80,"Name too long",IF(COUNTIFS($A$2:$A$1001,A528,$B$2:$B$1001,B528)&gt;1,"Duplicate court name",IF(AND(C528&lt;&gt;"",C528&lt;&gt;"Hard",C528&lt;&gt;"Synthetic",C528&lt;&gt;"Other",C528&lt;&gt;"Not sure"),"Unknown surface",IF(OR(AND(D528&lt;&gt;"Yes",D528&lt;&gt;"No"),AND(E528&lt;&gt;"Yes",E528&lt;&gt;"No"),AND(F528&lt;&gt;"Yes",F528&lt;&gt;"No")),"Use Yes or No","OK")))))))</f>
      </c>
    </row>
    <row r="529">
      <c r="G529" s="4">
        <f>IF(A529="","",IF(COUNTIF(Venues!$A$2:$A$201,A529)=0,"Unknown venue code",IF(OR(B529="",D529="",E529="",F529=""),"Missing details",IF(LEN(B529)&gt;80,"Name too long",IF(COUNTIFS($A$2:$A$1001,A529,$B$2:$B$1001,B529)&gt;1,"Duplicate court name",IF(AND(C529&lt;&gt;"",C529&lt;&gt;"Hard",C529&lt;&gt;"Synthetic",C529&lt;&gt;"Other",C529&lt;&gt;"Not sure"),"Unknown surface",IF(OR(AND(D529&lt;&gt;"Yes",D529&lt;&gt;"No"),AND(E529&lt;&gt;"Yes",E529&lt;&gt;"No"),AND(F529&lt;&gt;"Yes",F529&lt;&gt;"No")),"Use Yes or No","OK")))))))</f>
      </c>
    </row>
    <row r="530">
      <c r="G530" s="4">
        <f>IF(A530="","",IF(COUNTIF(Venues!$A$2:$A$201,A530)=0,"Unknown venue code",IF(OR(B530="",D530="",E530="",F530=""),"Missing details",IF(LEN(B530)&gt;80,"Name too long",IF(COUNTIFS($A$2:$A$1001,A530,$B$2:$B$1001,B530)&gt;1,"Duplicate court name",IF(AND(C530&lt;&gt;"",C530&lt;&gt;"Hard",C530&lt;&gt;"Synthetic",C530&lt;&gt;"Other",C530&lt;&gt;"Not sure"),"Unknown surface",IF(OR(AND(D530&lt;&gt;"Yes",D530&lt;&gt;"No"),AND(E530&lt;&gt;"Yes",E530&lt;&gt;"No"),AND(F530&lt;&gt;"Yes",F530&lt;&gt;"No")),"Use Yes or No","OK")))))))</f>
      </c>
    </row>
    <row r="531">
      <c r="G531" s="4">
        <f>IF(A531="","",IF(COUNTIF(Venues!$A$2:$A$201,A531)=0,"Unknown venue code",IF(OR(B531="",D531="",E531="",F531=""),"Missing details",IF(LEN(B531)&gt;80,"Name too long",IF(COUNTIFS($A$2:$A$1001,A531,$B$2:$B$1001,B531)&gt;1,"Duplicate court name",IF(AND(C531&lt;&gt;"",C531&lt;&gt;"Hard",C531&lt;&gt;"Synthetic",C531&lt;&gt;"Other",C531&lt;&gt;"Not sure"),"Unknown surface",IF(OR(AND(D531&lt;&gt;"Yes",D531&lt;&gt;"No"),AND(E531&lt;&gt;"Yes",E531&lt;&gt;"No"),AND(F531&lt;&gt;"Yes",F531&lt;&gt;"No")),"Use Yes or No","OK")))))))</f>
      </c>
    </row>
    <row r="532">
      <c r="G532" s="4">
        <f>IF(A532="","",IF(COUNTIF(Venues!$A$2:$A$201,A532)=0,"Unknown venue code",IF(OR(B532="",D532="",E532="",F532=""),"Missing details",IF(LEN(B532)&gt;80,"Name too long",IF(COUNTIFS($A$2:$A$1001,A532,$B$2:$B$1001,B532)&gt;1,"Duplicate court name",IF(AND(C532&lt;&gt;"",C532&lt;&gt;"Hard",C532&lt;&gt;"Synthetic",C532&lt;&gt;"Other",C532&lt;&gt;"Not sure"),"Unknown surface",IF(OR(AND(D532&lt;&gt;"Yes",D532&lt;&gt;"No"),AND(E532&lt;&gt;"Yes",E532&lt;&gt;"No"),AND(F532&lt;&gt;"Yes",F532&lt;&gt;"No")),"Use Yes or No","OK")))))))</f>
      </c>
    </row>
    <row r="533">
      <c r="G533" s="4">
        <f>IF(A533="","",IF(COUNTIF(Venues!$A$2:$A$201,A533)=0,"Unknown venue code",IF(OR(B533="",D533="",E533="",F533=""),"Missing details",IF(LEN(B533)&gt;80,"Name too long",IF(COUNTIFS($A$2:$A$1001,A533,$B$2:$B$1001,B533)&gt;1,"Duplicate court name",IF(AND(C533&lt;&gt;"",C533&lt;&gt;"Hard",C533&lt;&gt;"Synthetic",C533&lt;&gt;"Other",C533&lt;&gt;"Not sure"),"Unknown surface",IF(OR(AND(D533&lt;&gt;"Yes",D533&lt;&gt;"No"),AND(E533&lt;&gt;"Yes",E533&lt;&gt;"No"),AND(F533&lt;&gt;"Yes",F533&lt;&gt;"No")),"Use Yes or No","OK")))))))</f>
      </c>
    </row>
    <row r="534">
      <c r="G534" s="4">
        <f>IF(A534="","",IF(COUNTIF(Venues!$A$2:$A$201,A534)=0,"Unknown venue code",IF(OR(B534="",D534="",E534="",F534=""),"Missing details",IF(LEN(B534)&gt;80,"Name too long",IF(COUNTIFS($A$2:$A$1001,A534,$B$2:$B$1001,B534)&gt;1,"Duplicate court name",IF(AND(C534&lt;&gt;"",C534&lt;&gt;"Hard",C534&lt;&gt;"Synthetic",C534&lt;&gt;"Other",C534&lt;&gt;"Not sure"),"Unknown surface",IF(OR(AND(D534&lt;&gt;"Yes",D534&lt;&gt;"No"),AND(E534&lt;&gt;"Yes",E534&lt;&gt;"No"),AND(F534&lt;&gt;"Yes",F534&lt;&gt;"No")),"Use Yes or No","OK")))))))</f>
      </c>
    </row>
    <row r="535">
      <c r="G535" s="4">
        <f>IF(A535="","",IF(COUNTIF(Venues!$A$2:$A$201,A535)=0,"Unknown venue code",IF(OR(B535="",D535="",E535="",F535=""),"Missing details",IF(LEN(B535)&gt;80,"Name too long",IF(COUNTIFS($A$2:$A$1001,A535,$B$2:$B$1001,B535)&gt;1,"Duplicate court name",IF(AND(C535&lt;&gt;"",C535&lt;&gt;"Hard",C535&lt;&gt;"Synthetic",C535&lt;&gt;"Other",C535&lt;&gt;"Not sure"),"Unknown surface",IF(OR(AND(D535&lt;&gt;"Yes",D535&lt;&gt;"No"),AND(E535&lt;&gt;"Yes",E535&lt;&gt;"No"),AND(F535&lt;&gt;"Yes",F535&lt;&gt;"No")),"Use Yes or No","OK")))))))</f>
      </c>
    </row>
    <row r="536">
      <c r="G536" s="4">
        <f>IF(A536="","",IF(COUNTIF(Venues!$A$2:$A$201,A536)=0,"Unknown venue code",IF(OR(B536="",D536="",E536="",F536=""),"Missing details",IF(LEN(B536)&gt;80,"Name too long",IF(COUNTIFS($A$2:$A$1001,A536,$B$2:$B$1001,B536)&gt;1,"Duplicate court name",IF(AND(C536&lt;&gt;"",C536&lt;&gt;"Hard",C536&lt;&gt;"Synthetic",C536&lt;&gt;"Other",C536&lt;&gt;"Not sure"),"Unknown surface",IF(OR(AND(D536&lt;&gt;"Yes",D536&lt;&gt;"No"),AND(E536&lt;&gt;"Yes",E536&lt;&gt;"No"),AND(F536&lt;&gt;"Yes",F536&lt;&gt;"No")),"Use Yes or No","OK")))))))</f>
      </c>
    </row>
    <row r="537">
      <c r="G537" s="4">
        <f>IF(A537="","",IF(COUNTIF(Venues!$A$2:$A$201,A537)=0,"Unknown venue code",IF(OR(B537="",D537="",E537="",F537=""),"Missing details",IF(LEN(B537)&gt;80,"Name too long",IF(COUNTIFS($A$2:$A$1001,A537,$B$2:$B$1001,B537)&gt;1,"Duplicate court name",IF(AND(C537&lt;&gt;"",C537&lt;&gt;"Hard",C537&lt;&gt;"Synthetic",C537&lt;&gt;"Other",C537&lt;&gt;"Not sure"),"Unknown surface",IF(OR(AND(D537&lt;&gt;"Yes",D537&lt;&gt;"No"),AND(E537&lt;&gt;"Yes",E537&lt;&gt;"No"),AND(F537&lt;&gt;"Yes",F537&lt;&gt;"No")),"Use Yes or No","OK")))))))</f>
      </c>
    </row>
    <row r="538">
      <c r="G538" s="4">
        <f>IF(A538="","",IF(COUNTIF(Venues!$A$2:$A$201,A538)=0,"Unknown venue code",IF(OR(B538="",D538="",E538="",F538=""),"Missing details",IF(LEN(B538)&gt;80,"Name too long",IF(COUNTIFS($A$2:$A$1001,A538,$B$2:$B$1001,B538)&gt;1,"Duplicate court name",IF(AND(C538&lt;&gt;"",C538&lt;&gt;"Hard",C538&lt;&gt;"Synthetic",C538&lt;&gt;"Other",C538&lt;&gt;"Not sure"),"Unknown surface",IF(OR(AND(D538&lt;&gt;"Yes",D538&lt;&gt;"No"),AND(E538&lt;&gt;"Yes",E538&lt;&gt;"No"),AND(F538&lt;&gt;"Yes",F538&lt;&gt;"No")),"Use Yes or No","OK")))))))</f>
      </c>
    </row>
    <row r="539">
      <c r="G539" s="4">
        <f>IF(A539="","",IF(COUNTIF(Venues!$A$2:$A$201,A539)=0,"Unknown venue code",IF(OR(B539="",D539="",E539="",F539=""),"Missing details",IF(LEN(B539)&gt;80,"Name too long",IF(COUNTIFS($A$2:$A$1001,A539,$B$2:$B$1001,B539)&gt;1,"Duplicate court name",IF(AND(C539&lt;&gt;"",C539&lt;&gt;"Hard",C539&lt;&gt;"Synthetic",C539&lt;&gt;"Other",C539&lt;&gt;"Not sure"),"Unknown surface",IF(OR(AND(D539&lt;&gt;"Yes",D539&lt;&gt;"No"),AND(E539&lt;&gt;"Yes",E539&lt;&gt;"No"),AND(F539&lt;&gt;"Yes",F539&lt;&gt;"No")),"Use Yes or No","OK")))))))</f>
      </c>
    </row>
    <row r="540">
      <c r="G540" s="4">
        <f>IF(A540="","",IF(COUNTIF(Venues!$A$2:$A$201,A540)=0,"Unknown venue code",IF(OR(B540="",D540="",E540="",F540=""),"Missing details",IF(LEN(B540)&gt;80,"Name too long",IF(COUNTIFS($A$2:$A$1001,A540,$B$2:$B$1001,B540)&gt;1,"Duplicate court name",IF(AND(C540&lt;&gt;"",C540&lt;&gt;"Hard",C540&lt;&gt;"Synthetic",C540&lt;&gt;"Other",C540&lt;&gt;"Not sure"),"Unknown surface",IF(OR(AND(D540&lt;&gt;"Yes",D540&lt;&gt;"No"),AND(E540&lt;&gt;"Yes",E540&lt;&gt;"No"),AND(F540&lt;&gt;"Yes",F540&lt;&gt;"No")),"Use Yes or No","OK")))))))</f>
      </c>
    </row>
    <row r="541">
      <c r="G541" s="4">
        <f>IF(A541="","",IF(COUNTIF(Venues!$A$2:$A$201,A541)=0,"Unknown venue code",IF(OR(B541="",D541="",E541="",F541=""),"Missing details",IF(LEN(B541)&gt;80,"Name too long",IF(COUNTIFS($A$2:$A$1001,A541,$B$2:$B$1001,B541)&gt;1,"Duplicate court name",IF(AND(C541&lt;&gt;"",C541&lt;&gt;"Hard",C541&lt;&gt;"Synthetic",C541&lt;&gt;"Other",C541&lt;&gt;"Not sure"),"Unknown surface",IF(OR(AND(D541&lt;&gt;"Yes",D541&lt;&gt;"No"),AND(E541&lt;&gt;"Yes",E541&lt;&gt;"No"),AND(F541&lt;&gt;"Yes",F541&lt;&gt;"No")),"Use Yes or No","OK")))))))</f>
      </c>
    </row>
    <row r="542">
      <c r="G542" s="4">
        <f>IF(A542="","",IF(COUNTIF(Venues!$A$2:$A$201,A542)=0,"Unknown venue code",IF(OR(B542="",D542="",E542="",F542=""),"Missing details",IF(LEN(B542)&gt;80,"Name too long",IF(COUNTIFS($A$2:$A$1001,A542,$B$2:$B$1001,B542)&gt;1,"Duplicate court name",IF(AND(C542&lt;&gt;"",C542&lt;&gt;"Hard",C542&lt;&gt;"Synthetic",C542&lt;&gt;"Other",C542&lt;&gt;"Not sure"),"Unknown surface",IF(OR(AND(D542&lt;&gt;"Yes",D542&lt;&gt;"No"),AND(E542&lt;&gt;"Yes",E542&lt;&gt;"No"),AND(F542&lt;&gt;"Yes",F542&lt;&gt;"No")),"Use Yes or No","OK")))))))</f>
      </c>
    </row>
    <row r="543">
      <c r="G543" s="4">
        <f>IF(A543="","",IF(COUNTIF(Venues!$A$2:$A$201,A543)=0,"Unknown venue code",IF(OR(B543="",D543="",E543="",F543=""),"Missing details",IF(LEN(B543)&gt;80,"Name too long",IF(COUNTIFS($A$2:$A$1001,A543,$B$2:$B$1001,B543)&gt;1,"Duplicate court name",IF(AND(C543&lt;&gt;"",C543&lt;&gt;"Hard",C543&lt;&gt;"Synthetic",C543&lt;&gt;"Other",C543&lt;&gt;"Not sure"),"Unknown surface",IF(OR(AND(D543&lt;&gt;"Yes",D543&lt;&gt;"No"),AND(E543&lt;&gt;"Yes",E543&lt;&gt;"No"),AND(F543&lt;&gt;"Yes",F543&lt;&gt;"No")),"Use Yes or No","OK")))))))</f>
      </c>
    </row>
    <row r="544">
      <c r="G544" s="4">
        <f>IF(A544="","",IF(COUNTIF(Venues!$A$2:$A$201,A544)=0,"Unknown venue code",IF(OR(B544="",D544="",E544="",F544=""),"Missing details",IF(LEN(B544)&gt;80,"Name too long",IF(COUNTIFS($A$2:$A$1001,A544,$B$2:$B$1001,B544)&gt;1,"Duplicate court name",IF(AND(C544&lt;&gt;"",C544&lt;&gt;"Hard",C544&lt;&gt;"Synthetic",C544&lt;&gt;"Other",C544&lt;&gt;"Not sure"),"Unknown surface",IF(OR(AND(D544&lt;&gt;"Yes",D544&lt;&gt;"No"),AND(E544&lt;&gt;"Yes",E544&lt;&gt;"No"),AND(F544&lt;&gt;"Yes",F544&lt;&gt;"No")),"Use Yes or No","OK")))))))</f>
      </c>
    </row>
    <row r="545">
      <c r="G545" s="4">
        <f>IF(A545="","",IF(COUNTIF(Venues!$A$2:$A$201,A545)=0,"Unknown venue code",IF(OR(B545="",D545="",E545="",F545=""),"Missing details",IF(LEN(B545)&gt;80,"Name too long",IF(COUNTIFS($A$2:$A$1001,A545,$B$2:$B$1001,B545)&gt;1,"Duplicate court name",IF(AND(C545&lt;&gt;"",C545&lt;&gt;"Hard",C545&lt;&gt;"Synthetic",C545&lt;&gt;"Other",C545&lt;&gt;"Not sure"),"Unknown surface",IF(OR(AND(D545&lt;&gt;"Yes",D545&lt;&gt;"No"),AND(E545&lt;&gt;"Yes",E545&lt;&gt;"No"),AND(F545&lt;&gt;"Yes",F545&lt;&gt;"No")),"Use Yes or No","OK")))))))</f>
      </c>
    </row>
    <row r="546">
      <c r="G546" s="4">
        <f>IF(A546="","",IF(COUNTIF(Venues!$A$2:$A$201,A546)=0,"Unknown venue code",IF(OR(B546="",D546="",E546="",F546=""),"Missing details",IF(LEN(B546)&gt;80,"Name too long",IF(COUNTIFS($A$2:$A$1001,A546,$B$2:$B$1001,B546)&gt;1,"Duplicate court name",IF(AND(C546&lt;&gt;"",C546&lt;&gt;"Hard",C546&lt;&gt;"Synthetic",C546&lt;&gt;"Other",C546&lt;&gt;"Not sure"),"Unknown surface",IF(OR(AND(D546&lt;&gt;"Yes",D546&lt;&gt;"No"),AND(E546&lt;&gt;"Yes",E546&lt;&gt;"No"),AND(F546&lt;&gt;"Yes",F546&lt;&gt;"No")),"Use Yes or No","OK")))))))</f>
      </c>
    </row>
    <row r="547">
      <c r="G547" s="4">
        <f>IF(A547="","",IF(COUNTIF(Venues!$A$2:$A$201,A547)=0,"Unknown venue code",IF(OR(B547="",D547="",E547="",F547=""),"Missing details",IF(LEN(B547)&gt;80,"Name too long",IF(COUNTIFS($A$2:$A$1001,A547,$B$2:$B$1001,B547)&gt;1,"Duplicate court name",IF(AND(C547&lt;&gt;"",C547&lt;&gt;"Hard",C547&lt;&gt;"Synthetic",C547&lt;&gt;"Other",C547&lt;&gt;"Not sure"),"Unknown surface",IF(OR(AND(D547&lt;&gt;"Yes",D547&lt;&gt;"No"),AND(E547&lt;&gt;"Yes",E547&lt;&gt;"No"),AND(F547&lt;&gt;"Yes",F547&lt;&gt;"No")),"Use Yes or No","OK")))))))</f>
      </c>
    </row>
    <row r="548">
      <c r="G548" s="4">
        <f>IF(A548="","",IF(COUNTIF(Venues!$A$2:$A$201,A548)=0,"Unknown venue code",IF(OR(B548="",D548="",E548="",F548=""),"Missing details",IF(LEN(B548)&gt;80,"Name too long",IF(COUNTIFS($A$2:$A$1001,A548,$B$2:$B$1001,B548)&gt;1,"Duplicate court name",IF(AND(C548&lt;&gt;"",C548&lt;&gt;"Hard",C548&lt;&gt;"Synthetic",C548&lt;&gt;"Other",C548&lt;&gt;"Not sure"),"Unknown surface",IF(OR(AND(D548&lt;&gt;"Yes",D548&lt;&gt;"No"),AND(E548&lt;&gt;"Yes",E548&lt;&gt;"No"),AND(F548&lt;&gt;"Yes",F548&lt;&gt;"No")),"Use Yes or No","OK")))))))</f>
      </c>
    </row>
    <row r="549">
      <c r="G549" s="4">
        <f>IF(A549="","",IF(COUNTIF(Venues!$A$2:$A$201,A549)=0,"Unknown venue code",IF(OR(B549="",D549="",E549="",F549=""),"Missing details",IF(LEN(B549)&gt;80,"Name too long",IF(COUNTIFS($A$2:$A$1001,A549,$B$2:$B$1001,B549)&gt;1,"Duplicate court name",IF(AND(C549&lt;&gt;"",C549&lt;&gt;"Hard",C549&lt;&gt;"Synthetic",C549&lt;&gt;"Other",C549&lt;&gt;"Not sure"),"Unknown surface",IF(OR(AND(D549&lt;&gt;"Yes",D549&lt;&gt;"No"),AND(E549&lt;&gt;"Yes",E549&lt;&gt;"No"),AND(F549&lt;&gt;"Yes",F549&lt;&gt;"No")),"Use Yes or No","OK")))))))</f>
      </c>
    </row>
    <row r="550">
      <c r="G550" s="4">
        <f>IF(A550="","",IF(COUNTIF(Venues!$A$2:$A$201,A550)=0,"Unknown venue code",IF(OR(B550="",D550="",E550="",F550=""),"Missing details",IF(LEN(B550)&gt;80,"Name too long",IF(COUNTIFS($A$2:$A$1001,A550,$B$2:$B$1001,B550)&gt;1,"Duplicate court name",IF(AND(C550&lt;&gt;"",C550&lt;&gt;"Hard",C550&lt;&gt;"Synthetic",C550&lt;&gt;"Other",C550&lt;&gt;"Not sure"),"Unknown surface",IF(OR(AND(D550&lt;&gt;"Yes",D550&lt;&gt;"No"),AND(E550&lt;&gt;"Yes",E550&lt;&gt;"No"),AND(F550&lt;&gt;"Yes",F550&lt;&gt;"No")),"Use Yes or No","OK")))))))</f>
      </c>
    </row>
    <row r="551">
      <c r="G551" s="4">
        <f>IF(A551="","",IF(COUNTIF(Venues!$A$2:$A$201,A551)=0,"Unknown venue code",IF(OR(B551="",D551="",E551="",F551=""),"Missing details",IF(LEN(B551)&gt;80,"Name too long",IF(COUNTIFS($A$2:$A$1001,A551,$B$2:$B$1001,B551)&gt;1,"Duplicate court name",IF(AND(C551&lt;&gt;"",C551&lt;&gt;"Hard",C551&lt;&gt;"Synthetic",C551&lt;&gt;"Other",C551&lt;&gt;"Not sure"),"Unknown surface",IF(OR(AND(D551&lt;&gt;"Yes",D551&lt;&gt;"No"),AND(E551&lt;&gt;"Yes",E551&lt;&gt;"No"),AND(F551&lt;&gt;"Yes",F551&lt;&gt;"No")),"Use Yes or No","OK")))))))</f>
      </c>
    </row>
    <row r="552">
      <c r="G552" s="4">
        <f>IF(A552="","",IF(COUNTIF(Venues!$A$2:$A$201,A552)=0,"Unknown venue code",IF(OR(B552="",D552="",E552="",F552=""),"Missing details",IF(LEN(B552)&gt;80,"Name too long",IF(COUNTIFS($A$2:$A$1001,A552,$B$2:$B$1001,B552)&gt;1,"Duplicate court name",IF(AND(C552&lt;&gt;"",C552&lt;&gt;"Hard",C552&lt;&gt;"Synthetic",C552&lt;&gt;"Other",C552&lt;&gt;"Not sure"),"Unknown surface",IF(OR(AND(D552&lt;&gt;"Yes",D552&lt;&gt;"No"),AND(E552&lt;&gt;"Yes",E552&lt;&gt;"No"),AND(F552&lt;&gt;"Yes",F552&lt;&gt;"No")),"Use Yes or No","OK")))))))</f>
      </c>
    </row>
    <row r="553">
      <c r="G553" s="4">
        <f>IF(A553="","",IF(COUNTIF(Venues!$A$2:$A$201,A553)=0,"Unknown venue code",IF(OR(B553="",D553="",E553="",F553=""),"Missing details",IF(LEN(B553)&gt;80,"Name too long",IF(COUNTIFS($A$2:$A$1001,A553,$B$2:$B$1001,B553)&gt;1,"Duplicate court name",IF(AND(C553&lt;&gt;"",C553&lt;&gt;"Hard",C553&lt;&gt;"Synthetic",C553&lt;&gt;"Other",C553&lt;&gt;"Not sure"),"Unknown surface",IF(OR(AND(D553&lt;&gt;"Yes",D553&lt;&gt;"No"),AND(E553&lt;&gt;"Yes",E553&lt;&gt;"No"),AND(F553&lt;&gt;"Yes",F553&lt;&gt;"No")),"Use Yes or No","OK")))))))</f>
      </c>
    </row>
    <row r="554">
      <c r="G554" s="4">
        <f>IF(A554="","",IF(COUNTIF(Venues!$A$2:$A$201,A554)=0,"Unknown venue code",IF(OR(B554="",D554="",E554="",F554=""),"Missing details",IF(LEN(B554)&gt;80,"Name too long",IF(COUNTIFS($A$2:$A$1001,A554,$B$2:$B$1001,B554)&gt;1,"Duplicate court name",IF(AND(C554&lt;&gt;"",C554&lt;&gt;"Hard",C554&lt;&gt;"Synthetic",C554&lt;&gt;"Other",C554&lt;&gt;"Not sure"),"Unknown surface",IF(OR(AND(D554&lt;&gt;"Yes",D554&lt;&gt;"No"),AND(E554&lt;&gt;"Yes",E554&lt;&gt;"No"),AND(F554&lt;&gt;"Yes",F554&lt;&gt;"No")),"Use Yes or No","OK")))))))</f>
      </c>
    </row>
    <row r="555">
      <c r="G555" s="4">
        <f>IF(A555="","",IF(COUNTIF(Venues!$A$2:$A$201,A555)=0,"Unknown venue code",IF(OR(B555="",D555="",E555="",F555=""),"Missing details",IF(LEN(B555)&gt;80,"Name too long",IF(COUNTIFS($A$2:$A$1001,A555,$B$2:$B$1001,B555)&gt;1,"Duplicate court name",IF(AND(C555&lt;&gt;"",C555&lt;&gt;"Hard",C555&lt;&gt;"Synthetic",C555&lt;&gt;"Other",C555&lt;&gt;"Not sure"),"Unknown surface",IF(OR(AND(D555&lt;&gt;"Yes",D555&lt;&gt;"No"),AND(E555&lt;&gt;"Yes",E555&lt;&gt;"No"),AND(F555&lt;&gt;"Yes",F555&lt;&gt;"No")),"Use Yes or No","OK")))))))</f>
      </c>
    </row>
    <row r="556">
      <c r="G556" s="4">
        <f>IF(A556="","",IF(COUNTIF(Venues!$A$2:$A$201,A556)=0,"Unknown venue code",IF(OR(B556="",D556="",E556="",F556=""),"Missing details",IF(LEN(B556)&gt;80,"Name too long",IF(COUNTIFS($A$2:$A$1001,A556,$B$2:$B$1001,B556)&gt;1,"Duplicate court name",IF(AND(C556&lt;&gt;"",C556&lt;&gt;"Hard",C556&lt;&gt;"Synthetic",C556&lt;&gt;"Other",C556&lt;&gt;"Not sure"),"Unknown surface",IF(OR(AND(D556&lt;&gt;"Yes",D556&lt;&gt;"No"),AND(E556&lt;&gt;"Yes",E556&lt;&gt;"No"),AND(F556&lt;&gt;"Yes",F556&lt;&gt;"No")),"Use Yes or No","OK")))))))</f>
      </c>
    </row>
    <row r="557">
      <c r="G557" s="4">
        <f>IF(A557="","",IF(COUNTIF(Venues!$A$2:$A$201,A557)=0,"Unknown venue code",IF(OR(B557="",D557="",E557="",F557=""),"Missing details",IF(LEN(B557)&gt;80,"Name too long",IF(COUNTIFS($A$2:$A$1001,A557,$B$2:$B$1001,B557)&gt;1,"Duplicate court name",IF(AND(C557&lt;&gt;"",C557&lt;&gt;"Hard",C557&lt;&gt;"Synthetic",C557&lt;&gt;"Other",C557&lt;&gt;"Not sure"),"Unknown surface",IF(OR(AND(D557&lt;&gt;"Yes",D557&lt;&gt;"No"),AND(E557&lt;&gt;"Yes",E557&lt;&gt;"No"),AND(F557&lt;&gt;"Yes",F557&lt;&gt;"No")),"Use Yes or No","OK")))))))</f>
      </c>
    </row>
    <row r="558">
      <c r="G558" s="4">
        <f>IF(A558="","",IF(COUNTIF(Venues!$A$2:$A$201,A558)=0,"Unknown venue code",IF(OR(B558="",D558="",E558="",F558=""),"Missing details",IF(LEN(B558)&gt;80,"Name too long",IF(COUNTIFS($A$2:$A$1001,A558,$B$2:$B$1001,B558)&gt;1,"Duplicate court name",IF(AND(C558&lt;&gt;"",C558&lt;&gt;"Hard",C558&lt;&gt;"Synthetic",C558&lt;&gt;"Other",C558&lt;&gt;"Not sure"),"Unknown surface",IF(OR(AND(D558&lt;&gt;"Yes",D558&lt;&gt;"No"),AND(E558&lt;&gt;"Yes",E558&lt;&gt;"No"),AND(F558&lt;&gt;"Yes",F558&lt;&gt;"No")),"Use Yes or No","OK")))))))</f>
      </c>
    </row>
    <row r="559">
      <c r="G559" s="4">
        <f>IF(A559="","",IF(COUNTIF(Venues!$A$2:$A$201,A559)=0,"Unknown venue code",IF(OR(B559="",D559="",E559="",F559=""),"Missing details",IF(LEN(B559)&gt;80,"Name too long",IF(COUNTIFS($A$2:$A$1001,A559,$B$2:$B$1001,B559)&gt;1,"Duplicate court name",IF(AND(C559&lt;&gt;"",C559&lt;&gt;"Hard",C559&lt;&gt;"Synthetic",C559&lt;&gt;"Other",C559&lt;&gt;"Not sure"),"Unknown surface",IF(OR(AND(D559&lt;&gt;"Yes",D559&lt;&gt;"No"),AND(E559&lt;&gt;"Yes",E559&lt;&gt;"No"),AND(F559&lt;&gt;"Yes",F559&lt;&gt;"No")),"Use Yes or No","OK")))))))</f>
      </c>
    </row>
    <row r="560">
      <c r="G560" s="4">
        <f>IF(A560="","",IF(COUNTIF(Venues!$A$2:$A$201,A560)=0,"Unknown venue code",IF(OR(B560="",D560="",E560="",F560=""),"Missing details",IF(LEN(B560)&gt;80,"Name too long",IF(COUNTIFS($A$2:$A$1001,A560,$B$2:$B$1001,B560)&gt;1,"Duplicate court name",IF(AND(C560&lt;&gt;"",C560&lt;&gt;"Hard",C560&lt;&gt;"Synthetic",C560&lt;&gt;"Other",C560&lt;&gt;"Not sure"),"Unknown surface",IF(OR(AND(D560&lt;&gt;"Yes",D560&lt;&gt;"No"),AND(E560&lt;&gt;"Yes",E560&lt;&gt;"No"),AND(F560&lt;&gt;"Yes",F560&lt;&gt;"No")),"Use Yes or No","OK")))))))</f>
      </c>
    </row>
    <row r="561">
      <c r="G561" s="4">
        <f>IF(A561="","",IF(COUNTIF(Venues!$A$2:$A$201,A561)=0,"Unknown venue code",IF(OR(B561="",D561="",E561="",F561=""),"Missing details",IF(LEN(B561)&gt;80,"Name too long",IF(COUNTIFS($A$2:$A$1001,A561,$B$2:$B$1001,B561)&gt;1,"Duplicate court name",IF(AND(C561&lt;&gt;"",C561&lt;&gt;"Hard",C561&lt;&gt;"Synthetic",C561&lt;&gt;"Other",C561&lt;&gt;"Not sure"),"Unknown surface",IF(OR(AND(D561&lt;&gt;"Yes",D561&lt;&gt;"No"),AND(E561&lt;&gt;"Yes",E561&lt;&gt;"No"),AND(F561&lt;&gt;"Yes",F561&lt;&gt;"No")),"Use Yes or No","OK")))))))</f>
      </c>
    </row>
    <row r="562">
      <c r="G562" s="4">
        <f>IF(A562="","",IF(COUNTIF(Venues!$A$2:$A$201,A562)=0,"Unknown venue code",IF(OR(B562="",D562="",E562="",F562=""),"Missing details",IF(LEN(B562)&gt;80,"Name too long",IF(COUNTIFS($A$2:$A$1001,A562,$B$2:$B$1001,B562)&gt;1,"Duplicate court name",IF(AND(C562&lt;&gt;"",C562&lt;&gt;"Hard",C562&lt;&gt;"Synthetic",C562&lt;&gt;"Other",C562&lt;&gt;"Not sure"),"Unknown surface",IF(OR(AND(D562&lt;&gt;"Yes",D562&lt;&gt;"No"),AND(E562&lt;&gt;"Yes",E562&lt;&gt;"No"),AND(F562&lt;&gt;"Yes",F562&lt;&gt;"No")),"Use Yes or No","OK")))))))</f>
      </c>
    </row>
    <row r="563">
      <c r="G563" s="4">
        <f>IF(A563="","",IF(COUNTIF(Venues!$A$2:$A$201,A563)=0,"Unknown venue code",IF(OR(B563="",D563="",E563="",F563=""),"Missing details",IF(LEN(B563)&gt;80,"Name too long",IF(COUNTIFS($A$2:$A$1001,A563,$B$2:$B$1001,B563)&gt;1,"Duplicate court name",IF(AND(C563&lt;&gt;"",C563&lt;&gt;"Hard",C563&lt;&gt;"Synthetic",C563&lt;&gt;"Other",C563&lt;&gt;"Not sure"),"Unknown surface",IF(OR(AND(D563&lt;&gt;"Yes",D563&lt;&gt;"No"),AND(E563&lt;&gt;"Yes",E563&lt;&gt;"No"),AND(F563&lt;&gt;"Yes",F563&lt;&gt;"No")),"Use Yes or No","OK")))))))</f>
      </c>
    </row>
    <row r="564">
      <c r="G564" s="4">
        <f>IF(A564="","",IF(COUNTIF(Venues!$A$2:$A$201,A564)=0,"Unknown venue code",IF(OR(B564="",D564="",E564="",F564=""),"Missing details",IF(LEN(B564)&gt;80,"Name too long",IF(COUNTIFS($A$2:$A$1001,A564,$B$2:$B$1001,B564)&gt;1,"Duplicate court name",IF(AND(C564&lt;&gt;"",C564&lt;&gt;"Hard",C564&lt;&gt;"Synthetic",C564&lt;&gt;"Other",C564&lt;&gt;"Not sure"),"Unknown surface",IF(OR(AND(D564&lt;&gt;"Yes",D564&lt;&gt;"No"),AND(E564&lt;&gt;"Yes",E564&lt;&gt;"No"),AND(F564&lt;&gt;"Yes",F564&lt;&gt;"No")),"Use Yes or No","OK")))))))</f>
      </c>
    </row>
    <row r="565">
      <c r="G565" s="4">
        <f>IF(A565="","",IF(COUNTIF(Venues!$A$2:$A$201,A565)=0,"Unknown venue code",IF(OR(B565="",D565="",E565="",F565=""),"Missing details",IF(LEN(B565)&gt;80,"Name too long",IF(COUNTIFS($A$2:$A$1001,A565,$B$2:$B$1001,B565)&gt;1,"Duplicate court name",IF(AND(C565&lt;&gt;"",C565&lt;&gt;"Hard",C565&lt;&gt;"Synthetic",C565&lt;&gt;"Other",C565&lt;&gt;"Not sure"),"Unknown surface",IF(OR(AND(D565&lt;&gt;"Yes",D565&lt;&gt;"No"),AND(E565&lt;&gt;"Yes",E565&lt;&gt;"No"),AND(F565&lt;&gt;"Yes",F565&lt;&gt;"No")),"Use Yes or No","OK")))))))</f>
      </c>
    </row>
    <row r="566">
      <c r="G566" s="4">
        <f>IF(A566="","",IF(COUNTIF(Venues!$A$2:$A$201,A566)=0,"Unknown venue code",IF(OR(B566="",D566="",E566="",F566=""),"Missing details",IF(LEN(B566)&gt;80,"Name too long",IF(COUNTIFS($A$2:$A$1001,A566,$B$2:$B$1001,B566)&gt;1,"Duplicate court name",IF(AND(C566&lt;&gt;"",C566&lt;&gt;"Hard",C566&lt;&gt;"Synthetic",C566&lt;&gt;"Other",C566&lt;&gt;"Not sure"),"Unknown surface",IF(OR(AND(D566&lt;&gt;"Yes",D566&lt;&gt;"No"),AND(E566&lt;&gt;"Yes",E566&lt;&gt;"No"),AND(F566&lt;&gt;"Yes",F566&lt;&gt;"No")),"Use Yes or No","OK")))))))</f>
      </c>
    </row>
    <row r="567">
      <c r="G567" s="4">
        <f>IF(A567="","",IF(COUNTIF(Venues!$A$2:$A$201,A567)=0,"Unknown venue code",IF(OR(B567="",D567="",E567="",F567=""),"Missing details",IF(LEN(B567)&gt;80,"Name too long",IF(COUNTIFS($A$2:$A$1001,A567,$B$2:$B$1001,B567)&gt;1,"Duplicate court name",IF(AND(C567&lt;&gt;"",C567&lt;&gt;"Hard",C567&lt;&gt;"Synthetic",C567&lt;&gt;"Other",C567&lt;&gt;"Not sure"),"Unknown surface",IF(OR(AND(D567&lt;&gt;"Yes",D567&lt;&gt;"No"),AND(E567&lt;&gt;"Yes",E567&lt;&gt;"No"),AND(F567&lt;&gt;"Yes",F567&lt;&gt;"No")),"Use Yes or No","OK")))))))</f>
      </c>
    </row>
    <row r="568">
      <c r="G568" s="4">
        <f>IF(A568="","",IF(COUNTIF(Venues!$A$2:$A$201,A568)=0,"Unknown venue code",IF(OR(B568="",D568="",E568="",F568=""),"Missing details",IF(LEN(B568)&gt;80,"Name too long",IF(COUNTIFS($A$2:$A$1001,A568,$B$2:$B$1001,B568)&gt;1,"Duplicate court name",IF(AND(C568&lt;&gt;"",C568&lt;&gt;"Hard",C568&lt;&gt;"Synthetic",C568&lt;&gt;"Other",C568&lt;&gt;"Not sure"),"Unknown surface",IF(OR(AND(D568&lt;&gt;"Yes",D568&lt;&gt;"No"),AND(E568&lt;&gt;"Yes",E568&lt;&gt;"No"),AND(F568&lt;&gt;"Yes",F568&lt;&gt;"No")),"Use Yes or No","OK")))))))</f>
      </c>
    </row>
    <row r="569">
      <c r="G569" s="4">
        <f>IF(A569="","",IF(COUNTIF(Venues!$A$2:$A$201,A569)=0,"Unknown venue code",IF(OR(B569="",D569="",E569="",F569=""),"Missing details",IF(LEN(B569)&gt;80,"Name too long",IF(COUNTIFS($A$2:$A$1001,A569,$B$2:$B$1001,B569)&gt;1,"Duplicate court name",IF(AND(C569&lt;&gt;"",C569&lt;&gt;"Hard",C569&lt;&gt;"Synthetic",C569&lt;&gt;"Other",C569&lt;&gt;"Not sure"),"Unknown surface",IF(OR(AND(D569&lt;&gt;"Yes",D569&lt;&gt;"No"),AND(E569&lt;&gt;"Yes",E569&lt;&gt;"No"),AND(F569&lt;&gt;"Yes",F569&lt;&gt;"No")),"Use Yes or No","OK")))))))</f>
      </c>
    </row>
    <row r="570">
      <c r="G570" s="4">
        <f>IF(A570="","",IF(COUNTIF(Venues!$A$2:$A$201,A570)=0,"Unknown venue code",IF(OR(B570="",D570="",E570="",F570=""),"Missing details",IF(LEN(B570)&gt;80,"Name too long",IF(COUNTIFS($A$2:$A$1001,A570,$B$2:$B$1001,B570)&gt;1,"Duplicate court name",IF(AND(C570&lt;&gt;"",C570&lt;&gt;"Hard",C570&lt;&gt;"Synthetic",C570&lt;&gt;"Other",C570&lt;&gt;"Not sure"),"Unknown surface",IF(OR(AND(D570&lt;&gt;"Yes",D570&lt;&gt;"No"),AND(E570&lt;&gt;"Yes",E570&lt;&gt;"No"),AND(F570&lt;&gt;"Yes",F570&lt;&gt;"No")),"Use Yes or No","OK")))))))</f>
      </c>
    </row>
    <row r="571">
      <c r="G571" s="4">
        <f>IF(A571="","",IF(COUNTIF(Venues!$A$2:$A$201,A571)=0,"Unknown venue code",IF(OR(B571="",D571="",E571="",F571=""),"Missing details",IF(LEN(B571)&gt;80,"Name too long",IF(COUNTIFS($A$2:$A$1001,A571,$B$2:$B$1001,B571)&gt;1,"Duplicate court name",IF(AND(C571&lt;&gt;"",C571&lt;&gt;"Hard",C571&lt;&gt;"Synthetic",C571&lt;&gt;"Other",C571&lt;&gt;"Not sure"),"Unknown surface",IF(OR(AND(D571&lt;&gt;"Yes",D571&lt;&gt;"No"),AND(E571&lt;&gt;"Yes",E571&lt;&gt;"No"),AND(F571&lt;&gt;"Yes",F571&lt;&gt;"No")),"Use Yes or No","OK")))))))</f>
      </c>
    </row>
    <row r="572">
      <c r="G572" s="4">
        <f>IF(A572="","",IF(COUNTIF(Venues!$A$2:$A$201,A572)=0,"Unknown venue code",IF(OR(B572="",D572="",E572="",F572=""),"Missing details",IF(LEN(B572)&gt;80,"Name too long",IF(COUNTIFS($A$2:$A$1001,A572,$B$2:$B$1001,B572)&gt;1,"Duplicate court name",IF(AND(C572&lt;&gt;"",C572&lt;&gt;"Hard",C572&lt;&gt;"Synthetic",C572&lt;&gt;"Other",C572&lt;&gt;"Not sure"),"Unknown surface",IF(OR(AND(D572&lt;&gt;"Yes",D572&lt;&gt;"No"),AND(E572&lt;&gt;"Yes",E572&lt;&gt;"No"),AND(F572&lt;&gt;"Yes",F572&lt;&gt;"No")),"Use Yes or No","OK")))))))</f>
      </c>
    </row>
    <row r="573">
      <c r="G573" s="4">
        <f>IF(A573="","",IF(COUNTIF(Venues!$A$2:$A$201,A573)=0,"Unknown venue code",IF(OR(B573="",D573="",E573="",F573=""),"Missing details",IF(LEN(B573)&gt;80,"Name too long",IF(COUNTIFS($A$2:$A$1001,A573,$B$2:$B$1001,B573)&gt;1,"Duplicate court name",IF(AND(C573&lt;&gt;"",C573&lt;&gt;"Hard",C573&lt;&gt;"Synthetic",C573&lt;&gt;"Other",C573&lt;&gt;"Not sure"),"Unknown surface",IF(OR(AND(D573&lt;&gt;"Yes",D573&lt;&gt;"No"),AND(E573&lt;&gt;"Yes",E573&lt;&gt;"No"),AND(F573&lt;&gt;"Yes",F573&lt;&gt;"No")),"Use Yes or No","OK")))))))</f>
      </c>
    </row>
    <row r="574">
      <c r="G574" s="4">
        <f>IF(A574="","",IF(COUNTIF(Venues!$A$2:$A$201,A574)=0,"Unknown venue code",IF(OR(B574="",D574="",E574="",F574=""),"Missing details",IF(LEN(B574)&gt;80,"Name too long",IF(COUNTIFS($A$2:$A$1001,A574,$B$2:$B$1001,B574)&gt;1,"Duplicate court name",IF(AND(C574&lt;&gt;"",C574&lt;&gt;"Hard",C574&lt;&gt;"Synthetic",C574&lt;&gt;"Other",C574&lt;&gt;"Not sure"),"Unknown surface",IF(OR(AND(D574&lt;&gt;"Yes",D574&lt;&gt;"No"),AND(E574&lt;&gt;"Yes",E574&lt;&gt;"No"),AND(F574&lt;&gt;"Yes",F574&lt;&gt;"No")),"Use Yes or No","OK")))))))</f>
      </c>
    </row>
    <row r="575">
      <c r="G575" s="4">
        <f>IF(A575="","",IF(COUNTIF(Venues!$A$2:$A$201,A575)=0,"Unknown venue code",IF(OR(B575="",D575="",E575="",F575=""),"Missing details",IF(LEN(B575)&gt;80,"Name too long",IF(COUNTIFS($A$2:$A$1001,A575,$B$2:$B$1001,B575)&gt;1,"Duplicate court name",IF(AND(C575&lt;&gt;"",C575&lt;&gt;"Hard",C575&lt;&gt;"Synthetic",C575&lt;&gt;"Other",C575&lt;&gt;"Not sure"),"Unknown surface",IF(OR(AND(D575&lt;&gt;"Yes",D575&lt;&gt;"No"),AND(E575&lt;&gt;"Yes",E575&lt;&gt;"No"),AND(F575&lt;&gt;"Yes",F575&lt;&gt;"No")),"Use Yes or No","OK")))))))</f>
      </c>
    </row>
    <row r="576">
      <c r="G576" s="4">
        <f>IF(A576="","",IF(COUNTIF(Venues!$A$2:$A$201,A576)=0,"Unknown venue code",IF(OR(B576="",D576="",E576="",F576=""),"Missing details",IF(LEN(B576)&gt;80,"Name too long",IF(COUNTIFS($A$2:$A$1001,A576,$B$2:$B$1001,B576)&gt;1,"Duplicate court name",IF(AND(C576&lt;&gt;"",C576&lt;&gt;"Hard",C576&lt;&gt;"Synthetic",C576&lt;&gt;"Other",C576&lt;&gt;"Not sure"),"Unknown surface",IF(OR(AND(D576&lt;&gt;"Yes",D576&lt;&gt;"No"),AND(E576&lt;&gt;"Yes",E576&lt;&gt;"No"),AND(F576&lt;&gt;"Yes",F576&lt;&gt;"No")),"Use Yes or No","OK")))))))</f>
      </c>
    </row>
    <row r="577">
      <c r="G577" s="4">
        <f>IF(A577="","",IF(COUNTIF(Venues!$A$2:$A$201,A577)=0,"Unknown venue code",IF(OR(B577="",D577="",E577="",F577=""),"Missing details",IF(LEN(B577)&gt;80,"Name too long",IF(COUNTIFS($A$2:$A$1001,A577,$B$2:$B$1001,B577)&gt;1,"Duplicate court name",IF(AND(C577&lt;&gt;"",C577&lt;&gt;"Hard",C577&lt;&gt;"Synthetic",C577&lt;&gt;"Other",C577&lt;&gt;"Not sure"),"Unknown surface",IF(OR(AND(D577&lt;&gt;"Yes",D577&lt;&gt;"No"),AND(E577&lt;&gt;"Yes",E577&lt;&gt;"No"),AND(F577&lt;&gt;"Yes",F577&lt;&gt;"No")),"Use Yes or No","OK")))))))</f>
      </c>
    </row>
    <row r="578">
      <c r="G578" s="4">
        <f>IF(A578="","",IF(COUNTIF(Venues!$A$2:$A$201,A578)=0,"Unknown venue code",IF(OR(B578="",D578="",E578="",F578=""),"Missing details",IF(LEN(B578)&gt;80,"Name too long",IF(COUNTIFS($A$2:$A$1001,A578,$B$2:$B$1001,B578)&gt;1,"Duplicate court name",IF(AND(C578&lt;&gt;"",C578&lt;&gt;"Hard",C578&lt;&gt;"Synthetic",C578&lt;&gt;"Other",C578&lt;&gt;"Not sure"),"Unknown surface",IF(OR(AND(D578&lt;&gt;"Yes",D578&lt;&gt;"No"),AND(E578&lt;&gt;"Yes",E578&lt;&gt;"No"),AND(F578&lt;&gt;"Yes",F578&lt;&gt;"No")),"Use Yes or No","OK")))))))</f>
      </c>
    </row>
    <row r="579">
      <c r="G579" s="4">
        <f>IF(A579="","",IF(COUNTIF(Venues!$A$2:$A$201,A579)=0,"Unknown venue code",IF(OR(B579="",D579="",E579="",F579=""),"Missing details",IF(LEN(B579)&gt;80,"Name too long",IF(COUNTIFS($A$2:$A$1001,A579,$B$2:$B$1001,B579)&gt;1,"Duplicate court name",IF(AND(C579&lt;&gt;"",C579&lt;&gt;"Hard",C579&lt;&gt;"Synthetic",C579&lt;&gt;"Other",C579&lt;&gt;"Not sure"),"Unknown surface",IF(OR(AND(D579&lt;&gt;"Yes",D579&lt;&gt;"No"),AND(E579&lt;&gt;"Yes",E579&lt;&gt;"No"),AND(F579&lt;&gt;"Yes",F579&lt;&gt;"No")),"Use Yes or No","OK")))))))</f>
      </c>
    </row>
    <row r="580">
      <c r="G580" s="4">
        <f>IF(A580="","",IF(COUNTIF(Venues!$A$2:$A$201,A580)=0,"Unknown venue code",IF(OR(B580="",D580="",E580="",F580=""),"Missing details",IF(LEN(B580)&gt;80,"Name too long",IF(COUNTIFS($A$2:$A$1001,A580,$B$2:$B$1001,B580)&gt;1,"Duplicate court name",IF(AND(C580&lt;&gt;"",C580&lt;&gt;"Hard",C580&lt;&gt;"Synthetic",C580&lt;&gt;"Other",C580&lt;&gt;"Not sure"),"Unknown surface",IF(OR(AND(D580&lt;&gt;"Yes",D580&lt;&gt;"No"),AND(E580&lt;&gt;"Yes",E580&lt;&gt;"No"),AND(F580&lt;&gt;"Yes",F580&lt;&gt;"No")),"Use Yes or No","OK")))))))</f>
      </c>
    </row>
    <row r="581">
      <c r="G581" s="4">
        <f>IF(A581="","",IF(COUNTIF(Venues!$A$2:$A$201,A581)=0,"Unknown venue code",IF(OR(B581="",D581="",E581="",F581=""),"Missing details",IF(LEN(B581)&gt;80,"Name too long",IF(COUNTIFS($A$2:$A$1001,A581,$B$2:$B$1001,B581)&gt;1,"Duplicate court name",IF(AND(C581&lt;&gt;"",C581&lt;&gt;"Hard",C581&lt;&gt;"Synthetic",C581&lt;&gt;"Other",C581&lt;&gt;"Not sure"),"Unknown surface",IF(OR(AND(D581&lt;&gt;"Yes",D581&lt;&gt;"No"),AND(E581&lt;&gt;"Yes",E581&lt;&gt;"No"),AND(F581&lt;&gt;"Yes",F581&lt;&gt;"No")),"Use Yes or No","OK")))))))</f>
      </c>
    </row>
    <row r="582">
      <c r="G582" s="4">
        <f>IF(A582="","",IF(COUNTIF(Venues!$A$2:$A$201,A582)=0,"Unknown venue code",IF(OR(B582="",D582="",E582="",F582=""),"Missing details",IF(LEN(B582)&gt;80,"Name too long",IF(COUNTIFS($A$2:$A$1001,A582,$B$2:$B$1001,B582)&gt;1,"Duplicate court name",IF(AND(C582&lt;&gt;"",C582&lt;&gt;"Hard",C582&lt;&gt;"Synthetic",C582&lt;&gt;"Other",C582&lt;&gt;"Not sure"),"Unknown surface",IF(OR(AND(D582&lt;&gt;"Yes",D582&lt;&gt;"No"),AND(E582&lt;&gt;"Yes",E582&lt;&gt;"No"),AND(F582&lt;&gt;"Yes",F582&lt;&gt;"No")),"Use Yes or No","OK")))))))</f>
      </c>
    </row>
    <row r="583">
      <c r="G583" s="4">
        <f>IF(A583="","",IF(COUNTIF(Venues!$A$2:$A$201,A583)=0,"Unknown venue code",IF(OR(B583="",D583="",E583="",F583=""),"Missing details",IF(LEN(B583)&gt;80,"Name too long",IF(COUNTIFS($A$2:$A$1001,A583,$B$2:$B$1001,B583)&gt;1,"Duplicate court name",IF(AND(C583&lt;&gt;"",C583&lt;&gt;"Hard",C583&lt;&gt;"Synthetic",C583&lt;&gt;"Other",C583&lt;&gt;"Not sure"),"Unknown surface",IF(OR(AND(D583&lt;&gt;"Yes",D583&lt;&gt;"No"),AND(E583&lt;&gt;"Yes",E583&lt;&gt;"No"),AND(F583&lt;&gt;"Yes",F583&lt;&gt;"No")),"Use Yes or No","OK")))))))</f>
      </c>
    </row>
    <row r="584">
      <c r="G584" s="4">
        <f>IF(A584="","",IF(COUNTIF(Venues!$A$2:$A$201,A584)=0,"Unknown venue code",IF(OR(B584="",D584="",E584="",F584=""),"Missing details",IF(LEN(B584)&gt;80,"Name too long",IF(COUNTIFS($A$2:$A$1001,A584,$B$2:$B$1001,B584)&gt;1,"Duplicate court name",IF(AND(C584&lt;&gt;"",C584&lt;&gt;"Hard",C584&lt;&gt;"Synthetic",C584&lt;&gt;"Other",C584&lt;&gt;"Not sure"),"Unknown surface",IF(OR(AND(D584&lt;&gt;"Yes",D584&lt;&gt;"No"),AND(E584&lt;&gt;"Yes",E584&lt;&gt;"No"),AND(F584&lt;&gt;"Yes",F584&lt;&gt;"No")),"Use Yes or No","OK")))))))</f>
      </c>
    </row>
    <row r="585">
      <c r="G585" s="4">
        <f>IF(A585="","",IF(COUNTIF(Venues!$A$2:$A$201,A585)=0,"Unknown venue code",IF(OR(B585="",D585="",E585="",F585=""),"Missing details",IF(LEN(B585)&gt;80,"Name too long",IF(COUNTIFS($A$2:$A$1001,A585,$B$2:$B$1001,B585)&gt;1,"Duplicate court name",IF(AND(C585&lt;&gt;"",C585&lt;&gt;"Hard",C585&lt;&gt;"Synthetic",C585&lt;&gt;"Other",C585&lt;&gt;"Not sure"),"Unknown surface",IF(OR(AND(D585&lt;&gt;"Yes",D585&lt;&gt;"No"),AND(E585&lt;&gt;"Yes",E585&lt;&gt;"No"),AND(F585&lt;&gt;"Yes",F585&lt;&gt;"No")),"Use Yes or No","OK")))))))</f>
      </c>
    </row>
    <row r="586">
      <c r="G586" s="4">
        <f>IF(A586="","",IF(COUNTIF(Venues!$A$2:$A$201,A586)=0,"Unknown venue code",IF(OR(B586="",D586="",E586="",F586=""),"Missing details",IF(LEN(B586)&gt;80,"Name too long",IF(COUNTIFS($A$2:$A$1001,A586,$B$2:$B$1001,B586)&gt;1,"Duplicate court name",IF(AND(C586&lt;&gt;"",C586&lt;&gt;"Hard",C586&lt;&gt;"Synthetic",C586&lt;&gt;"Other",C586&lt;&gt;"Not sure"),"Unknown surface",IF(OR(AND(D586&lt;&gt;"Yes",D586&lt;&gt;"No"),AND(E586&lt;&gt;"Yes",E586&lt;&gt;"No"),AND(F586&lt;&gt;"Yes",F586&lt;&gt;"No")),"Use Yes or No","OK")))))))</f>
      </c>
    </row>
    <row r="587">
      <c r="G587" s="4">
        <f>IF(A587="","",IF(COUNTIF(Venues!$A$2:$A$201,A587)=0,"Unknown venue code",IF(OR(B587="",D587="",E587="",F587=""),"Missing details",IF(LEN(B587)&gt;80,"Name too long",IF(COUNTIFS($A$2:$A$1001,A587,$B$2:$B$1001,B587)&gt;1,"Duplicate court name",IF(AND(C587&lt;&gt;"",C587&lt;&gt;"Hard",C587&lt;&gt;"Synthetic",C587&lt;&gt;"Other",C587&lt;&gt;"Not sure"),"Unknown surface",IF(OR(AND(D587&lt;&gt;"Yes",D587&lt;&gt;"No"),AND(E587&lt;&gt;"Yes",E587&lt;&gt;"No"),AND(F587&lt;&gt;"Yes",F587&lt;&gt;"No")),"Use Yes or No","OK")))))))</f>
      </c>
    </row>
    <row r="588">
      <c r="G588" s="4">
        <f>IF(A588="","",IF(COUNTIF(Venues!$A$2:$A$201,A588)=0,"Unknown venue code",IF(OR(B588="",D588="",E588="",F588=""),"Missing details",IF(LEN(B588)&gt;80,"Name too long",IF(COUNTIFS($A$2:$A$1001,A588,$B$2:$B$1001,B588)&gt;1,"Duplicate court name",IF(AND(C588&lt;&gt;"",C588&lt;&gt;"Hard",C588&lt;&gt;"Synthetic",C588&lt;&gt;"Other",C588&lt;&gt;"Not sure"),"Unknown surface",IF(OR(AND(D588&lt;&gt;"Yes",D588&lt;&gt;"No"),AND(E588&lt;&gt;"Yes",E588&lt;&gt;"No"),AND(F588&lt;&gt;"Yes",F588&lt;&gt;"No")),"Use Yes or No","OK")))))))</f>
      </c>
    </row>
    <row r="589">
      <c r="G589" s="4">
        <f>IF(A589="","",IF(COUNTIF(Venues!$A$2:$A$201,A589)=0,"Unknown venue code",IF(OR(B589="",D589="",E589="",F589=""),"Missing details",IF(LEN(B589)&gt;80,"Name too long",IF(COUNTIFS($A$2:$A$1001,A589,$B$2:$B$1001,B589)&gt;1,"Duplicate court name",IF(AND(C589&lt;&gt;"",C589&lt;&gt;"Hard",C589&lt;&gt;"Synthetic",C589&lt;&gt;"Other",C589&lt;&gt;"Not sure"),"Unknown surface",IF(OR(AND(D589&lt;&gt;"Yes",D589&lt;&gt;"No"),AND(E589&lt;&gt;"Yes",E589&lt;&gt;"No"),AND(F589&lt;&gt;"Yes",F589&lt;&gt;"No")),"Use Yes or No","OK")))))))</f>
      </c>
    </row>
    <row r="590">
      <c r="G590" s="4">
        <f>IF(A590="","",IF(COUNTIF(Venues!$A$2:$A$201,A590)=0,"Unknown venue code",IF(OR(B590="",D590="",E590="",F590=""),"Missing details",IF(LEN(B590)&gt;80,"Name too long",IF(COUNTIFS($A$2:$A$1001,A590,$B$2:$B$1001,B590)&gt;1,"Duplicate court name",IF(AND(C590&lt;&gt;"",C590&lt;&gt;"Hard",C590&lt;&gt;"Synthetic",C590&lt;&gt;"Other",C590&lt;&gt;"Not sure"),"Unknown surface",IF(OR(AND(D590&lt;&gt;"Yes",D590&lt;&gt;"No"),AND(E590&lt;&gt;"Yes",E590&lt;&gt;"No"),AND(F590&lt;&gt;"Yes",F590&lt;&gt;"No")),"Use Yes or No","OK")))))))</f>
      </c>
    </row>
    <row r="591">
      <c r="G591" s="4">
        <f>IF(A591="","",IF(COUNTIF(Venues!$A$2:$A$201,A591)=0,"Unknown venue code",IF(OR(B591="",D591="",E591="",F591=""),"Missing details",IF(LEN(B591)&gt;80,"Name too long",IF(COUNTIFS($A$2:$A$1001,A591,$B$2:$B$1001,B591)&gt;1,"Duplicate court name",IF(AND(C591&lt;&gt;"",C591&lt;&gt;"Hard",C591&lt;&gt;"Synthetic",C591&lt;&gt;"Other",C591&lt;&gt;"Not sure"),"Unknown surface",IF(OR(AND(D591&lt;&gt;"Yes",D591&lt;&gt;"No"),AND(E591&lt;&gt;"Yes",E591&lt;&gt;"No"),AND(F591&lt;&gt;"Yes",F591&lt;&gt;"No")),"Use Yes or No","OK")))))))</f>
      </c>
    </row>
    <row r="592">
      <c r="G592" s="4">
        <f>IF(A592="","",IF(COUNTIF(Venues!$A$2:$A$201,A592)=0,"Unknown venue code",IF(OR(B592="",D592="",E592="",F592=""),"Missing details",IF(LEN(B592)&gt;80,"Name too long",IF(COUNTIFS($A$2:$A$1001,A592,$B$2:$B$1001,B592)&gt;1,"Duplicate court name",IF(AND(C592&lt;&gt;"",C592&lt;&gt;"Hard",C592&lt;&gt;"Synthetic",C592&lt;&gt;"Other",C592&lt;&gt;"Not sure"),"Unknown surface",IF(OR(AND(D592&lt;&gt;"Yes",D592&lt;&gt;"No"),AND(E592&lt;&gt;"Yes",E592&lt;&gt;"No"),AND(F592&lt;&gt;"Yes",F592&lt;&gt;"No")),"Use Yes or No","OK")))))))</f>
      </c>
    </row>
    <row r="593">
      <c r="G593" s="4">
        <f>IF(A593="","",IF(COUNTIF(Venues!$A$2:$A$201,A593)=0,"Unknown venue code",IF(OR(B593="",D593="",E593="",F593=""),"Missing details",IF(LEN(B593)&gt;80,"Name too long",IF(COUNTIFS($A$2:$A$1001,A593,$B$2:$B$1001,B593)&gt;1,"Duplicate court name",IF(AND(C593&lt;&gt;"",C593&lt;&gt;"Hard",C593&lt;&gt;"Synthetic",C593&lt;&gt;"Other",C593&lt;&gt;"Not sure"),"Unknown surface",IF(OR(AND(D593&lt;&gt;"Yes",D593&lt;&gt;"No"),AND(E593&lt;&gt;"Yes",E593&lt;&gt;"No"),AND(F593&lt;&gt;"Yes",F593&lt;&gt;"No")),"Use Yes or No","OK")))))))</f>
      </c>
    </row>
    <row r="594">
      <c r="G594" s="4">
        <f>IF(A594="","",IF(COUNTIF(Venues!$A$2:$A$201,A594)=0,"Unknown venue code",IF(OR(B594="",D594="",E594="",F594=""),"Missing details",IF(LEN(B594)&gt;80,"Name too long",IF(COUNTIFS($A$2:$A$1001,A594,$B$2:$B$1001,B594)&gt;1,"Duplicate court name",IF(AND(C594&lt;&gt;"",C594&lt;&gt;"Hard",C594&lt;&gt;"Synthetic",C594&lt;&gt;"Other",C594&lt;&gt;"Not sure"),"Unknown surface",IF(OR(AND(D594&lt;&gt;"Yes",D594&lt;&gt;"No"),AND(E594&lt;&gt;"Yes",E594&lt;&gt;"No"),AND(F594&lt;&gt;"Yes",F594&lt;&gt;"No")),"Use Yes or No","OK")))))))</f>
      </c>
    </row>
    <row r="595">
      <c r="G595" s="4">
        <f>IF(A595="","",IF(COUNTIF(Venues!$A$2:$A$201,A595)=0,"Unknown venue code",IF(OR(B595="",D595="",E595="",F595=""),"Missing details",IF(LEN(B595)&gt;80,"Name too long",IF(COUNTIFS($A$2:$A$1001,A595,$B$2:$B$1001,B595)&gt;1,"Duplicate court name",IF(AND(C595&lt;&gt;"",C595&lt;&gt;"Hard",C595&lt;&gt;"Synthetic",C595&lt;&gt;"Other",C595&lt;&gt;"Not sure"),"Unknown surface",IF(OR(AND(D595&lt;&gt;"Yes",D595&lt;&gt;"No"),AND(E595&lt;&gt;"Yes",E595&lt;&gt;"No"),AND(F595&lt;&gt;"Yes",F595&lt;&gt;"No")),"Use Yes or No","OK")))))))</f>
      </c>
    </row>
    <row r="596">
      <c r="G596" s="4">
        <f>IF(A596="","",IF(COUNTIF(Venues!$A$2:$A$201,A596)=0,"Unknown venue code",IF(OR(B596="",D596="",E596="",F596=""),"Missing details",IF(LEN(B596)&gt;80,"Name too long",IF(COUNTIFS($A$2:$A$1001,A596,$B$2:$B$1001,B596)&gt;1,"Duplicate court name",IF(AND(C596&lt;&gt;"",C596&lt;&gt;"Hard",C596&lt;&gt;"Synthetic",C596&lt;&gt;"Other",C596&lt;&gt;"Not sure"),"Unknown surface",IF(OR(AND(D596&lt;&gt;"Yes",D596&lt;&gt;"No"),AND(E596&lt;&gt;"Yes",E596&lt;&gt;"No"),AND(F596&lt;&gt;"Yes",F596&lt;&gt;"No")),"Use Yes or No","OK")))))))</f>
      </c>
    </row>
    <row r="597">
      <c r="G597" s="4">
        <f>IF(A597="","",IF(COUNTIF(Venues!$A$2:$A$201,A597)=0,"Unknown venue code",IF(OR(B597="",D597="",E597="",F597=""),"Missing details",IF(LEN(B597)&gt;80,"Name too long",IF(COUNTIFS($A$2:$A$1001,A597,$B$2:$B$1001,B597)&gt;1,"Duplicate court name",IF(AND(C597&lt;&gt;"",C597&lt;&gt;"Hard",C597&lt;&gt;"Synthetic",C597&lt;&gt;"Other",C597&lt;&gt;"Not sure"),"Unknown surface",IF(OR(AND(D597&lt;&gt;"Yes",D597&lt;&gt;"No"),AND(E597&lt;&gt;"Yes",E597&lt;&gt;"No"),AND(F597&lt;&gt;"Yes",F597&lt;&gt;"No")),"Use Yes or No","OK")))))))</f>
      </c>
    </row>
    <row r="598">
      <c r="G598" s="4">
        <f>IF(A598="","",IF(COUNTIF(Venues!$A$2:$A$201,A598)=0,"Unknown venue code",IF(OR(B598="",D598="",E598="",F598=""),"Missing details",IF(LEN(B598)&gt;80,"Name too long",IF(COUNTIFS($A$2:$A$1001,A598,$B$2:$B$1001,B598)&gt;1,"Duplicate court name",IF(AND(C598&lt;&gt;"",C598&lt;&gt;"Hard",C598&lt;&gt;"Synthetic",C598&lt;&gt;"Other",C598&lt;&gt;"Not sure"),"Unknown surface",IF(OR(AND(D598&lt;&gt;"Yes",D598&lt;&gt;"No"),AND(E598&lt;&gt;"Yes",E598&lt;&gt;"No"),AND(F598&lt;&gt;"Yes",F598&lt;&gt;"No")),"Use Yes or No","OK")))))))</f>
      </c>
    </row>
    <row r="599">
      <c r="G599" s="4">
        <f>IF(A599="","",IF(COUNTIF(Venues!$A$2:$A$201,A599)=0,"Unknown venue code",IF(OR(B599="",D599="",E599="",F599=""),"Missing details",IF(LEN(B599)&gt;80,"Name too long",IF(COUNTIFS($A$2:$A$1001,A599,$B$2:$B$1001,B599)&gt;1,"Duplicate court name",IF(AND(C599&lt;&gt;"",C599&lt;&gt;"Hard",C599&lt;&gt;"Synthetic",C599&lt;&gt;"Other",C599&lt;&gt;"Not sure"),"Unknown surface",IF(OR(AND(D599&lt;&gt;"Yes",D599&lt;&gt;"No"),AND(E599&lt;&gt;"Yes",E599&lt;&gt;"No"),AND(F599&lt;&gt;"Yes",F599&lt;&gt;"No")),"Use Yes or No","OK")))))))</f>
      </c>
    </row>
    <row r="600">
      <c r="G600" s="4">
        <f>IF(A600="","",IF(COUNTIF(Venues!$A$2:$A$201,A600)=0,"Unknown venue code",IF(OR(B600="",D600="",E600="",F600=""),"Missing details",IF(LEN(B600)&gt;80,"Name too long",IF(COUNTIFS($A$2:$A$1001,A600,$B$2:$B$1001,B600)&gt;1,"Duplicate court name",IF(AND(C600&lt;&gt;"",C600&lt;&gt;"Hard",C600&lt;&gt;"Synthetic",C600&lt;&gt;"Other",C600&lt;&gt;"Not sure"),"Unknown surface",IF(OR(AND(D600&lt;&gt;"Yes",D600&lt;&gt;"No"),AND(E600&lt;&gt;"Yes",E600&lt;&gt;"No"),AND(F600&lt;&gt;"Yes",F600&lt;&gt;"No")),"Use Yes or No","OK")))))))</f>
      </c>
    </row>
    <row r="601">
      <c r="G601" s="4">
        <f>IF(A601="","",IF(COUNTIF(Venues!$A$2:$A$201,A601)=0,"Unknown venue code",IF(OR(B601="",D601="",E601="",F601=""),"Missing details",IF(LEN(B601)&gt;80,"Name too long",IF(COUNTIFS($A$2:$A$1001,A601,$B$2:$B$1001,B601)&gt;1,"Duplicate court name",IF(AND(C601&lt;&gt;"",C601&lt;&gt;"Hard",C601&lt;&gt;"Synthetic",C601&lt;&gt;"Other",C601&lt;&gt;"Not sure"),"Unknown surface",IF(OR(AND(D601&lt;&gt;"Yes",D601&lt;&gt;"No"),AND(E601&lt;&gt;"Yes",E601&lt;&gt;"No"),AND(F601&lt;&gt;"Yes",F601&lt;&gt;"No")),"Use Yes or No","OK")))))))</f>
      </c>
    </row>
    <row r="602">
      <c r="G602" s="4">
        <f>IF(A602="","",IF(COUNTIF(Venues!$A$2:$A$201,A602)=0,"Unknown venue code",IF(OR(B602="",D602="",E602="",F602=""),"Missing details",IF(LEN(B602)&gt;80,"Name too long",IF(COUNTIFS($A$2:$A$1001,A602,$B$2:$B$1001,B602)&gt;1,"Duplicate court name",IF(AND(C602&lt;&gt;"",C602&lt;&gt;"Hard",C602&lt;&gt;"Synthetic",C602&lt;&gt;"Other",C602&lt;&gt;"Not sure"),"Unknown surface",IF(OR(AND(D602&lt;&gt;"Yes",D602&lt;&gt;"No"),AND(E602&lt;&gt;"Yes",E602&lt;&gt;"No"),AND(F602&lt;&gt;"Yes",F602&lt;&gt;"No")),"Use Yes or No","OK")))))))</f>
      </c>
    </row>
    <row r="603">
      <c r="G603" s="4">
        <f>IF(A603="","",IF(COUNTIF(Venues!$A$2:$A$201,A603)=0,"Unknown venue code",IF(OR(B603="",D603="",E603="",F603=""),"Missing details",IF(LEN(B603)&gt;80,"Name too long",IF(COUNTIFS($A$2:$A$1001,A603,$B$2:$B$1001,B603)&gt;1,"Duplicate court name",IF(AND(C603&lt;&gt;"",C603&lt;&gt;"Hard",C603&lt;&gt;"Synthetic",C603&lt;&gt;"Other",C603&lt;&gt;"Not sure"),"Unknown surface",IF(OR(AND(D603&lt;&gt;"Yes",D603&lt;&gt;"No"),AND(E603&lt;&gt;"Yes",E603&lt;&gt;"No"),AND(F603&lt;&gt;"Yes",F603&lt;&gt;"No")),"Use Yes or No","OK")))))))</f>
      </c>
    </row>
    <row r="604">
      <c r="G604" s="4">
        <f>IF(A604="","",IF(COUNTIF(Venues!$A$2:$A$201,A604)=0,"Unknown venue code",IF(OR(B604="",D604="",E604="",F604=""),"Missing details",IF(LEN(B604)&gt;80,"Name too long",IF(COUNTIFS($A$2:$A$1001,A604,$B$2:$B$1001,B604)&gt;1,"Duplicate court name",IF(AND(C604&lt;&gt;"",C604&lt;&gt;"Hard",C604&lt;&gt;"Synthetic",C604&lt;&gt;"Other",C604&lt;&gt;"Not sure"),"Unknown surface",IF(OR(AND(D604&lt;&gt;"Yes",D604&lt;&gt;"No"),AND(E604&lt;&gt;"Yes",E604&lt;&gt;"No"),AND(F604&lt;&gt;"Yes",F604&lt;&gt;"No")),"Use Yes or No","OK")))))))</f>
      </c>
    </row>
    <row r="605">
      <c r="G605" s="4">
        <f>IF(A605="","",IF(COUNTIF(Venues!$A$2:$A$201,A605)=0,"Unknown venue code",IF(OR(B605="",D605="",E605="",F605=""),"Missing details",IF(LEN(B605)&gt;80,"Name too long",IF(COUNTIFS($A$2:$A$1001,A605,$B$2:$B$1001,B605)&gt;1,"Duplicate court name",IF(AND(C605&lt;&gt;"",C605&lt;&gt;"Hard",C605&lt;&gt;"Synthetic",C605&lt;&gt;"Other",C605&lt;&gt;"Not sure"),"Unknown surface",IF(OR(AND(D605&lt;&gt;"Yes",D605&lt;&gt;"No"),AND(E605&lt;&gt;"Yes",E605&lt;&gt;"No"),AND(F605&lt;&gt;"Yes",F605&lt;&gt;"No")),"Use Yes or No","OK")))))))</f>
      </c>
    </row>
    <row r="606">
      <c r="G606" s="4">
        <f>IF(A606="","",IF(COUNTIF(Venues!$A$2:$A$201,A606)=0,"Unknown venue code",IF(OR(B606="",D606="",E606="",F606=""),"Missing details",IF(LEN(B606)&gt;80,"Name too long",IF(COUNTIFS($A$2:$A$1001,A606,$B$2:$B$1001,B606)&gt;1,"Duplicate court name",IF(AND(C606&lt;&gt;"",C606&lt;&gt;"Hard",C606&lt;&gt;"Synthetic",C606&lt;&gt;"Other",C606&lt;&gt;"Not sure"),"Unknown surface",IF(OR(AND(D606&lt;&gt;"Yes",D606&lt;&gt;"No"),AND(E606&lt;&gt;"Yes",E606&lt;&gt;"No"),AND(F606&lt;&gt;"Yes",F606&lt;&gt;"No")),"Use Yes or No","OK")))))))</f>
      </c>
    </row>
    <row r="607">
      <c r="G607" s="4">
        <f>IF(A607="","",IF(COUNTIF(Venues!$A$2:$A$201,A607)=0,"Unknown venue code",IF(OR(B607="",D607="",E607="",F607=""),"Missing details",IF(LEN(B607)&gt;80,"Name too long",IF(COUNTIFS($A$2:$A$1001,A607,$B$2:$B$1001,B607)&gt;1,"Duplicate court name",IF(AND(C607&lt;&gt;"",C607&lt;&gt;"Hard",C607&lt;&gt;"Synthetic",C607&lt;&gt;"Other",C607&lt;&gt;"Not sure"),"Unknown surface",IF(OR(AND(D607&lt;&gt;"Yes",D607&lt;&gt;"No"),AND(E607&lt;&gt;"Yes",E607&lt;&gt;"No"),AND(F607&lt;&gt;"Yes",F607&lt;&gt;"No")),"Use Yes or No","OK")))))))</f>
      </c>
    </row>
    <row r="608">
      <c r="G608" s="4">
        <f>IF(A608="","",IF(COUNTIF(Venues!$A$2:$A$201,A608)=0,"Unknown venue code",IF(OR(B608="",D608="",E608="",F608=""),"Missing details",IF(LEN(B608)&gt;80,"Name too long",IF(COUNTIFS($A$2:$A$1001,A608,$B$2:$B$1001,B608)&gt;1,"Duplicate court name",IF(AND(C608&lt;&gt;"",C608&lt;&gt;"Hard",C608&lt;&gt;"Synthetic",C608&lt;&gt;"Other",C608&lt;&gt;"Not sure"),"Unknown surface",IF(OR(AND(D608&lt;&gt;"Yes",D608&lt;&gt;"No"),AND(E608&lt;&gt;"Yes",E608&lt;&gt;"No"),AND(F608&lt;&gt;"Yes",F608&lt;&gt;"No")),"Use Yes or No","OK")))))))</f>
      </c>
    </row>
    <row r="609">
      <c r="G609" s="4">
        <f>IF(A609="","",IF(COUNTIF(Venues!$A$2:$A$201,A609)=0,"Unknown venue code",IF(OR(B609="",D609="",E609="",F609=""),"Missing details",IF(LEN(B609)&gt;80,"Name too long",IF(COUNTIFS($A$2:$A$1001,A609,$B$2:$B$1001,B609)&gt;1,"Duplicate court name",IF(AND(C609&lt;&gt;"",C609&lt;&gt;"Hard",C609&lt;&gt;"Synthetic",C609&lt;&gt;"Other",C609&lt;&gt;"Not sure"),"Unknown surface",IF(OR(AND(D609&lt;&gt;"Yes",D609&lt;&gt;"No"),AND(E609&lt;&gt;"Yes",E609&lt;&gt;"No"),AND(F609&lt;&gt;"Yes",F609&lt;&gt;"No")),"Use Yes or No","OK")))))))</f>
      </c>
    </row>
    <row r="610">
      <c r="G610" s="4">
        <f>IF(A610="","",IF(COUNTIF(Venues!$A$2:$A$201,A610)=0,"Unknown venue code",IF(OR(B610="",D610="",E610="",F610=""),"Missing details",IF(LEN(B610)&gt;80,"Name too long",IF(COUNTIFS($A$2:$A$1001,A610,$B$2:$B$1001,B610)&gt;1,"Duplicate court name",IF(AND(C610&lt;&gt;"",C610&lt;&gt;"Hard",C610&lt;&gt;"Synthetic",C610&lt;&gt;"Other",C610&lt;&gt;"Not sure"),"Unknown surface",IF(OR(AND(D610&lt;&gt;"Yes",D610&lt;&gt;"No"),AND(E610&lt;&gt;"Yes",E610&lt;&gt;"No"),AND(F610&lt;&gt;"Yes",F610&lt;&gt;"No")),"Use Yes or No","OK")))))))</f>
      </c>
    </row>
    <row r="611">
      <c r="G611" s="4">
        <f>IF(A611="","",IF(COUNTIF(Venues!$A$2:$A$201,A611)=0,"Unknown venue code",IF(OR(B611="",D611="",E611="",F611=""),"Missing details",IF(LEN(B611)&gt;80,"Name too long",IF(COUNTIFS($A$2:$A$1001,A611,$B$2:$B$1001,B611)&gt;1,"Duplicate court name",IF(AND(C611&lt;&gt;"",C611&lt;&gt;"Hard",C611&lt;&gt;"Synthetic",C611&lt;&gt;"Other",C611&lt;&gt;"Not sure"),"Unknown surface",IF(OR(AND(D611&lt;&gt;"Yes",D611&lt;&gt;"No"),AND(E611&lt;&gt;"Yes",E611&lt;&gt;"No"),AND(F611&lt;&gt;"Yes",F611&lt;&gt;"No")),"Use Yes or No","OK")))))))</f>
      </c>
    </row>
    <row r="612">
      <c r="G612" s="4">
        <f>IF(A612="","",IF(COUNTIF(Venues!$A$2:$A$201,A612)=0,"Unknown venue code",IF(OR(B612="",D612="",E612="",F612=""),"Missing details",IF(LEN(B612)&gt;80,"Name too long",IF(COUNTIFS($A$2:$A$1001,A612,$B$2:$B$1001,B612)&gt;1,"Duplicate court name",IF(AND(C612&lt;&gt;"",C612&lt;&gt;"Hard",C612&lt;&gt;"Synthetic",C612&lt;&gt;"Other",C612&lt;&gt;"Not sure"),"Unknown surface",IF(OR(AND(D612&lt;&gt;"Yes",D612&lt;&gt;"No"),AND(E612&lt;&gt;"Yes",E612&lt;&gt;"No"),AND(F612&lt;&gt;"Yes",F612&lt;&gt;"No")),"Use Yes or No","OK")))))))</f>
      </c>
    </row>
    <row r="613">
      <c r="G613" s="4">
        <f>IF(A613="","",IF(COUNTIF(Venues!$A$2:$A$201,A613)=0,"Unknown venue code",IF(OR(B613="",D613="",E613="",F613=""),"Missing details",IF(LEN(B613)&gt;80,"Name too long",IF(COUNTIFS($A$2:$A$1001,A613,$B$2:$B$1001,B613)&gt;1,"Duplicate court name",IF(AND(C613&lt;&gt;"",C613&lt;&gt;"Hard",C613&lt;&gt;"Synthetic",C613&lt;&gt;"Other",C613&lt;&gt;"Not sure"),"Unknown surface",IF(OR(AND(D613&lt;&gt;"Yes",D613&lt;&gt;"No"),AND(E613&lt;&gt;"Yes",E613&lt;&gt;"No"),AND(F613&lt;&gt;"Yes",F613&lt;&gt;"No")),"Use Yes or No","OK")))))))</f>
      </c>
    </row>
    <row r="614">
      <c r="G614" s="4">
        <f>IF(A614="","",IF(COUNTIF(Venues!$A$2:$A$201,A614)=0,"Unknown venue code",IF(OR(B614="",D614="",E614="",F614=""),"Missing details",IF(LEN(B614)&gt;80,"Name too long",IF(COUNTIFS($A$2:$A$1001,A614,$B$2:$B$1001,B614)&gt;1,"Duplicate court name",IF(AND(C614&lt;&gt;"",C614&lt;&gt;"Hard",C614&lt;&gt;"Synthetic",C614&lt;&gt;"Other",C614&lt;&gt;"Not sure"),"Unknown surface",IF(OR(AND(D614&lt;&gt;"Yes",D614&lt;&gt;"No"),AND(E614&lt;&gt;"Yes",E614&lt;&gt;"No"),AND(F614&lt;&gt;"Yes",F614&lt;&gt;"No")),"Use Yes or No","OK")))))))</f>
      </c>
    </row>
    <row r="615">
      <c r="G615" s="4">
        <f>IF(A615="","",IF(COUNTIF(Venues!$A$2:$A$201,A615)=0,"Unknown venue code",IF(OR(B615="",D615="",E615="",F615=""),"Missing details",IF(LEN(B615)&gt;80,"Name too long",IF(COUNTIFS($A$2:$A$1001,A615,$B$2:$B$1001,B615)&gt;1,"Duplicate court name",IF(AND(C615&lt;&gt;"",C615&lt;&gt;"Hard",C615&lt;&gt;"Synthetic",C615&lt;&gt;"Other",C615&lt;&gt;"Not sure"),"Unknown surface",IF(OR(AND(D615&lt;&gt;"Yes",D615&lt;&gt;"No"),AND(E615&lt;&gt;"Yes",E615&lt;&gt;"No"),AND(F615&lt;&gt;"Yes",F615&lt;&gt;"No")),"Use Yes or No","OK")))))))</f>
      </c>
    </row>
    <row r="616">
      <c r="G616" s="4">
        <f>IF(A616="","",IF(COUNTIF(Venues!$A$2:$A$201,A616)=0,"Unknown venue code",IF(OR(B616="",D616="",E616="",F616=""),"Missing details",IF(LEN(B616)&gt;80,"Name too long",IF(COUNTIFS($A$2:$A$1001,A616,$B$2:$B$1001,B616)&gt;1,"Duplicate court name",IF(AND(C616&lt;&gt;"",C616&lt;&gt;"Hard",C616&lt;&gt;"Synthetic",C616&lt;&gt;"Other",C616&lt;&gt;"Not sure"),"Unknown surface",IF(OR(AND(D616&lt;&gt;"Yes",D616&lt;&gt;"No"),AND(E616&lt;&gt;"Yes",E616&lt;&gt;"No"),AND(F616&lt;&gt;"Yes",F616&lt;&gt;"No")),"Use Yes or No","OK")))))))</f>
      </c>
    </row>
    <row r="617">
      <c r="G617" s="4">
        <f>IF(A617="","",IF(COUNTIF(Venues!$A$2:$A$201,A617)=0,"Unknown venue code",IF(OR(B617="",D617="",E617="",F617=""),"Missing details",IF(LEN(B617)&gt;80,"Name too long",IF(COUNTIFS($A$2:$A$1001,A617,$B$2:$B$1001,B617)&gt;1,"Duplicate court name",IF(AND(C617&lt;&gt;"",C617&lt;&gt;"Hard",C617&lt;&gt;"Synthetic",C617&lt;&gt;"Other",C617&lt;&gt;"Not sure"),"Unknown surface",IF(OR(AND(D617&lt;&gt;"Yes",D617&lt;&gt;"No"),AND(E617&lt;&gt;"Yes",E617&lt;&gt;"No"),AND(F617&lt;&gt;"Yes",F617&lt;&gt;"No")),"Use Yes or No","OK")))))))</f>
      </c>
    </row>
    <row r="618">
      <c r="G618" s="4">
        <f>IF(A618="","",IF(COUNTIF(Venues!$A$2:$A$201,A618)=0,"Unknown venue code",IF(OR(B618="",D618="",E618="",F618=""),"Missing details",IF(LEN(B618)&gt;80,"Name too long",IF(COUNTIFS($A$2:$A$1001,A618,$B$2:$B$1001,B618)&gt;1,"Duplicate court name",IF(AND(C618&lt;&gt;"",C618&lt;&gt;"Hard",C618&lt;&gt;"Synthetic",C618&lt;&gt;"Other",C618&lt;&gt;"Not sure"),"Unknown surface",IF(OR(AND(D618&lt;&gt;"Yes",D618&lt;&gt;"No"),AND(E618&lt;&gt;"Yes",E618&lt;&gt;"No"),AND(F618&lt;&gt;"Yes",F618&lt;&gt;"No")),"Use Yes or No","OK")))))))</f>
      </c>
    </row>
    <row r="619">
      <c r="G619" s="4">
        <f>IF(A619="","",IF(COUNTIF(Venues!$A$2:$A$201,A619)=0,"Unknown venue code",IF(OR(B619="",D619="",E619="",F619=""),"Missing details",IF(LEN(B619)&gt;80,"Name too long",IF(COUNTIFS($A$2:$A$1001,A619,$B$2:$B$1001,B619)&gt;1,"Duplicate court name",IF(AND(C619&lt;&gt;"",C619&lt;&gt;"Hard",C619&lt;&gt;"Synthetic",C619&lt;&gt;"Other",C619&lt;&gt;"Not sure"),"Unknown surface",IF(OR(AND(D619&lt;&gt;"Yes",D619&lt;&gt;"No"),AND(E619&lt;&gt;"Yes",E619&lt;&gt;"No"),AND(F619&lt;&gt;"Yes",F619&lt;&gt;"No")),"Use Yes or No","OK")))))))</f>
      </c>
    </row>
    <row r="620">
      <c r="G620" s="4">
        <f>IF(A620="","",IF(COUNTIF(Venues!$A$2:$A$201,A620)=0,"Unknown venue code",IF(OR(B620="",D620="",E620="",F620=""),"Missing details",IF(LEN(B620)&gt;80,"Name too long",IF(COUNTIFS($A$2:$A$1001,A620,$B$2:$B$1001,B620)&gt;1,"Duplicate court name",IF(AND(C620&lt;&gt;"",C620&lt;&gt;"Hard",C620&lt;&gt;"Synthetic",C620&lt;&gt;"Other",C620&lt;&gt;"Not sure"),"Unknown surface",IF(OR(AND(D620&lt;&gt;"Yes",D620&lt;&gt;"No"),AND(E620&lt;&gt;"Yes",E620&lt;&gt;"No"),AND(F620&lt;&gt;"Yes",F620&lt;&gt;"No")),"Use Yes or No","OK")))))))</f>
      </c>
    </row>
    <row r="621">
      <c r="G621" s="4">
        <f>IF(A621="","",IF(COUNTIF(Venues!$A$2:$A$201,A621)=0,"Unknown venue code",IF(OR(B621="",D621="",E621="",F621=""),"Missing details",IF(LEN(B621)&gt;80,"Name too long",IF(COUNTIFS($A$2:$A$1001,A621,$B$2:$B$1001,B621)&gt;1,"Duplicate court name",IF(AND(C621&lt;&gt;"",C621&lt;&gt;"Hard",C621&lt;&gt;"Synthetic",C621&lt;&gt;"Other",C621&lt;&gt;"Not sure"),"Unknown surface",IF(OR(AND(D621&lt;&gt;"Yes",D621&lt;&gt;"No"),AND(E621&lt;&gt;"Yes",E621&lt;&gt;"No"),AND(F621&lt;&gt;"Yes",F621&lt;&gt;"No")),"Use Yes or No","OK")))))))</f>
      </c>
    </row>
    <row r="622">
      <c r="G622" s="4">
        <f>IF(A622="","",IF(COUNTIF(Venues!$A$2:$A$201,A622)=0,"Unknown venue code",IF(OR(B622="",D622="",E622="",F622=""),"Missing details",IF(LEN(B622)&gt;80,"Name too long",IF(COUNTIFS($A$2:$A$1001,A622,$B$2:$B$1001,B622)&gt;1,"Duplicate court name",IF(AND(C622&lt;&gt;"",C622&lt;&gt;"Hard",C622&lt;&gt;"Synthetic",C622&lt;&gt;"Other",C622&lt;&gt;"Not sure"),"Unknown surface",IF(OR(AND(D622&lt;&gt;"Yes",D622&lt;&gt;"No"),AND(E622&lt;&gt;"Yes",E622&lt;&gt;"No"),AND(F622&lt;&gt;"Yes",F622&lt;&gt;"No")),"Use Yes or No","OK")))))))</f>
      </c>
    </row>
    <row r="623">
      <c r="G623" s="4">
        <f>IF(A623="","",IF(COUNTIF(Venues!$A$2:$A$201,A623)=0,"Unknown venue code",IF(OR(B623="",D623="",E623="",F623=""),"Missing details",IF(LEN(B623)&gt;80,"Name too long",IF(COUNTIFS($A$2:$A$1001,A623,$B$2:$B$1001,B623)&gt;1,"Duplicate court name",IF(AND(C623&lt;&gt;"",C623&lt;&gt;"Hard",C623&lt;&gt;"Synthetic",C623&lt;&gt;"Other",C623&lt;&gt;"Not sure"),"Unknown surface",IF(OR(AND(D623&lt;&gt;"Yes",D623&lt;&gt;"No"),AND(E623&lt;&gt;"Yes",E623&lt;&gt;"No"),AND(F623&lt;&gt;"Yes",F623&lt;&gt;"No")),"Use Yes or No","OK")))))))</f>
      </c>
    </row>
    <row r="624">
      <c r="G624" s="4">
        <f>IF(A624="","",IF(COUNTIF(Venues!$A$2:$A$201,A624)=0,"Unknown venue code",IF(OR(B624="",D624="",E624="",F624=""),"Missing details",IF(LEN(B624)&gt;80,"Name too long",IF(COUNTIFS($A$2:$A$1001,A624,$B$2:$B$1001,B624)&gt;1,"Duplicate court name",IF(AND(C624&lt;&gt;"",C624&lt;&gt;"Hard",C624&lt;&gt;"Synthetic",C624&lt;&gt;"Other",C624&lt;&gt;"Not sure"),"Unknown surface",IF(OR(AND(D624&lt;&gt;"Yes",D624&lt;&gt;"No"),AND(E624&lt;&gt;"Yes",E624&lt;&gt;"No"),AND(F624&lt;&gt;"Yes",F624&lt;&gt;"No")),"Use Yes or No","OK")))))))</f>
      </c>
    </row>
    <row r="625">
      <c r="G625" s="4">
        <f>IF(A625="","",IF(COUNTIF(Venues!$A$2:$A$201,A625)=0,"Unknown venue code",IF(OR(B625="",D625="",E625="",F625=""),"Missing details",IF(LEN(B625)&gt;80,"Name too long",IF(COUNTIFS($A$2:$A$1001,A625,$B$2:$B$1001,B625)&gt;1,"Duplicate court name",IF(AND(C625&lt;&gt;"",C625&lt;&gt;"Hard",C625&lt;&gt;"Synthetic",C625&lt;&gt;"Other",C625&lt;&gt;"Not sure"),"Unknown surface",IF(OR(AND(D625&lt;&gt;"Yes",D625&lt;&gt;"No"),AND(E625&lt;&gt;"Yes",E625&lt;&gt;"No"),AND(F625&lt;&gt;"Yes",F625&lt;&gt;"No")),"Use Yes or No","OK")))))))</f>
      </c>
    </row>
    <row r="626">
      <c r="G626" s="4">
        <f>IF(A626="","",IF(COUNTIF(Venues!$A$2:$A$201,A626)=0,"Unknown venue code",IF(OR(B626="",D626="",E626="",F626=""),"Missing details",IF(LEN(B626)&gt;80,"Name too long",IF(COUNTIFS($A$2:$A$1001,A626,$B$2:$B$1001,B626)&gt;1,"Duplicate court name",IF(AND(C626&lt;&gt;"",C626&lt;&gt;"Hard",C626&lt;&gt;"Synthetic",C626&lt;&gt;"Other",C626&lt;&gt;"Not sure"),"Unknown surface",IF(OR(AND(D626&lt;&gt;"Yes",D626&lt;&gt;"No"),AND(E626&lt;&gt;"Yes",E626&lt;&gt;"No"),AND(F626&lt;&gt;"Yes",F626&lt;&gt;"No")),"Use Yes or No","OK")))))))</f>
      </c>
    </row>
    <row r="627">
      <c r="G627" s="4">
        <f>IF(A627="","",IF(COUNTIF(Venues!$A$2:$A$201,A627)=0,"Unknown venue code",IF(OR(B627="",D627="",E627="",F627=""),"Missing details",IF(LEN(B627)&gt;80,"Name too long",IF(COUNTIFS($A$2:$A$1001,A627,$B$2:$B$1001,B627)&gt;1,"Duplicate court name",IF(AND(C627&lt;&gt;"",C627&lt;&gt;"Hard",C627&lt;&gt;"Synthetic",C627&lt;&gt;"Other",C627&lt;&gt;"Not sure"),"Unknown surface",IF(OR(AND(D627&lt;&gt;"Yes",D627&lt;&gt;"No"),AND(E627&lt;&gt;"Yes",E627&lt;&gt;"No"),AND(F627&lt;&gt;"Yes",F627&lt;&gt;"No")),"Use Yes or No","OK")))))))</f>
      </c>
    </row>
    <row r="628">
      <c r="G628" s="4">
        <f>IF(A628="","",IF(COUNTIF(Venues!$A$2:$A$201,A628)=0,"Unknown venue code",IF(OR(B628="",D628="",E628="",F628=""),"Missing details",IF(LEN(B628)&gt;80,"Name too long",IF(COUNTIFS($A$2:$A$1001,A628,$B$2:$B$1001,B628)&gt;1,"Duplicate court name",IF(AND(C628&lt;&gt;"",C628&lt;&gt;"Hard",C628&lt;&gt;"Synthetic",C628&lt;&gt;"Other",C628&lt;&gt;"Not sure"),"Unknown surface",IF(OR(AND(D628&lt;&gt;"Yes",D628&lt;&gt;"No"),AND(E628&lt;&gt;"Yes",E628&lt;&gt;"No"),AND(F628&lt;&gt;"Yes",F628&lt;&gt;"No")),"Use Yes or No","OK")))))))</f>
      </c>
    </row>
    <row r="629">
      <c r="G629" s="4">
        <f>IF(A629="","",IF(COUNTIF(Venues!$A$2:$A$201,A629)=0,"Unknown venue code",IF(OR(B629="",D629="",E629="",F629=""),"Missing details",IF(LEN(B629)&gt;80,"Name too long",IF(COUNTIFS($A$2:$A$1001,A629,$B$2:$B$1001,B629)&gt;1,"Duplicate court name",IF(AND(C629&lt;&gt;"",C629&lt;&gt;"Hard",C629&lt;&gt;"Synthetic",C629&lt;&gt;"Other",C629&lt;&gt;"Not sure"),"Unknown surface",IF(OR(AND(D629&lt;&gt;"Yes",D629&lt;&gt;"No"),AND(E629&lt;&gt;"Yes",E629&lt;&gt;"No"),AND(F629&lt;&gt;"Yes",F629&lt;&gt;"No")),"Use Yes or No","OK")))))))</f>
      </c>
    </row>
    <row r="630">
      <c r="G630" s="4">
        <f>IF(A630="","",IF(COUNTIF(Venues!$A$2:$A$201,A630)=0,"Unknown venue code",IF(OR(B630="",D630="",E630="",F630=""),"Missing details",IF(LEN(B630)&gt;80,"Name too long",IF(COUNTIFS($A$2:$A$1001,A630,$B$2:$B$1001,B630)&gt;1,"Duplicate court name",IF(AND(C630&lt;&gt;"",C630&lt;&gt;"Hard",C630&lt;&gt;"Synthetic",C630&lt;&gt;"Other",C630&lt;&gt;"Not sure"),"Unknown surface",IF(OR(AND(D630&lt;&gt;"Yes",D630&lt;&gt;"No"),AND(E630&lt;&gt;"Yes",E630&lt;&gt;"No"),AND(F630&lt;&gt;"Yes",F630&lt;&gt;"No")),"Use Yes or No","OK")))))))</f>
      </c>
    </row>
    <row r="631">
      <c r="G631" s="4">
        <f>IF(A631="","",IF(COUNTIF(Venues!$A$2:$A$201,A631)=0,"Unknown venue code",IF(OR(B631="",D631="",E631="",F631=""),"Missing details",IF(LEN(B631)&gt;80,"Name too long",IF(COUNTIFS($A$2:$A$1001,A631,$B$2:$B$1001,B631)&gt;1,"Duplicate court name",IF(AND(C631&lt;&gt;"",C631&lt;&gt;"Hard",C631&lt;&gt;"Synthetic",C631&lt;&gt;"Other",C631&lt;&gt;"Not sure"),"Unknown surface",IF(OR(AND(D631&lt;&gt;"Yes",D631&lt;&gt;"No"),AND(E631&lt;&gt;"Yes",E631&lt;&gt;"No"),AND(F631&lt;&gt;"Yes",F631&lt;&gt;"No")),"Use Yes or No","OK")))))))</f>
      </c>
    </row>
    <row r="632">
      <c r="G632" s="4">
        <f>IF(A632="","",IF(COUNTIF(Venues!$A$2:$A$201,A632)=0,"Unknown venue code",IF(OR(B632="",D632="",E632="",F632=""),"Missing details",IF(LEN(B632)&gt;80,"Name too long",IF(COUNTIFS($A$2:$A$1001,A632,$B$2:$B$1001,B632)&gt;1,"Duplicate court name",IF(AND(C632&lt;&gt;"",C632&lt;&gt;"Hard",C632&lt;&gt;"Synthetic",C632&lt;&gt;"Other",C632&lt;&gt;"Not sure"),"Unknown surface",IF(OR(AND(D632&lt;&gt;"Yes",D632&lt;&gt;"No"),AND(E632&lt;&gt;"Yes",E632&lt;&gt;"No"),AND(F632&lt;&gt;"Yes",F632&lt;&gt;"No")),"Use Yes or No","OK")))))))</f>
      </c>
    </row>
    <row r="633">
      <c r="G633" s="4">
        <f>IF(A633="","",IF(COUNTIF(Venues!$A$2:$A$201,A633)=0,"Unknown venue code",IF(OR(B633="",D633="",E633="",F633=""),"Missing details",IF(LEN(B633)&gt;80,"Name too long",IF(COUNTIFS($A$2:$A$1001,A633,$B$2:$B$1001,B633)&gt;1,"Duplicate court name",IF(AND(C633&lt;&gt;"",C633&lt;&gt;"Hard",C633&lt;&gt;"Synthetic",C633&lt;&gt;"Other",C633&lt;&gt;"Not sure"),"Unknown surface",IF(OR(AND(D633&lt;&gt;"Yes",D633&lt;&gt;"No"),AND(E633&lt;&gt;"Yes",E633&lt;&gt;"No"),AND(F633&lt;&gt;"Yes",F633&lt;&gt;"No")),"Use Yes or No","OK")))))))</f>
      </c>
    </row>
    <row r="634">
      <c r="G634" s="4">
        <f>IF(A634="","",IF(COUNTIF(Venues!$A$2:$A$201,A634)=0,"Unknown venue code",IF(OR(B634="",D634="",E634="",F634=""),"Missing details",IF(LEN(B634)&gt;80,"Name too long",IF(COUNTIFS($A$2:$A$1001,A634,$B$2:$B$1001,B634)&gt;1,"Duplicate court name",IF(AND(C634&lt;&gt;"",C634&lt;&gt;"Hard",C634&lt;&gt;"Synthetic",C634&lt;&gt;"Other",C634&lt;&gt;"Not sure"),"Unknown surface",IF(OR(AND(D634&lt;&gt;"Yes",D634&lt;&gt;"No"),AND(E634&lt;&gt;"Yes",E634&lt;&gt;"No"),AND(F634&lt;&gt;"Yes",F634&lt;&gt;"No")),"Use Yes or No","OK")))))))</f>
      </c>
    </row>
    <row r="635">
      <c r="G635" s="4">
        <f>IF(A635="","",IF(COUNTIF(Venues!$A$2:$A$201,A635)=0,"Unknown venue code",IF(OR(B635="",D635="",E635="",F635=""),"Missing details",IF(LEN(B635)&gt;80,"Name too long",IF(COUNTIFS($A$2:$A$1001,A635,$B$2:$B$1001,B635)&gt;1,"Duplicate court name",IF(AND(C635&lt;&gt;"",C635&lt;&gt;"Hard",C635&lt;&gt;"Synthetic",C635&lt;&gt;"Other",C635&lt;&gt;"Not sure"),"Unknown surface",IF(OR(AND(D635&lt;&gt;"Yes",D635&lt;&gt;"No"),AND(E635&lt;&gt;"Yes",E635&lt;&gt;"No"),AND(F635&lt;&gt;"Yes",F635&lt;&gt;"No")),"Use Yes or No","OK")))))))</f>
      </c>
    </row>
    <row r="636">
      <c r="G636" s="4">
        <f>IF(A636="","",IF(COUNTIF(Venues!$A$2:$A$201,A636)=0,"Unknown venue code",IF(OR(B636="",D636="",E636="",F636=""),"Missing details",IF(LEN(B636)&gt;80,"Name too long",IF(COUNTIFS($A$2:$A$1001,A636,$B$2:$B$1001,B636)&gt;1,"Duplicate court name",IF(AND(C636&lt;&gt;"",C636&lt;&gt;"Hard",C636&lt;&gt;"Synthetic",C636&lt;&gt;"Other",C636&lt;&gt;"Not sure"),"Unknown surface",IF(OR(AND(D636&lt;&gt;"Yes",D636&lt;&gt;"No"),AND(E636&lt;&gt;"Yes",E636&lt;&gt;"No"),AND(F636&lt;&gt;"Yes",F636&lt;&gt;"No")),"Use Yes or No","OK")))))))</f>
      </c>
    </row>
    <row r="637">
      <c r="G637" s="4">
        <f>IF(A637="","",IF(COUNTIF(Venues!$A$2:$A$201,A637)=0,"Unknown venue code",IF(OR(B637="",D637="",E637="",F637=""),"Missing details",IF(LEN(B637)&gt;80,"Name too long",IF(COUNTIFS($A$2:$A$1001,A637,$B$2:$B$1001,B637)&gt;1,"Duplicate court name",IF(AND(C637&lt;&gt;"",C637&lt;&gt;"Hard",C637&lt;&gt;"Synthetic",C637&lt;&gt;"Other",C637&lt;&gt;"Not sure"),"Unknown surface",IF(OR(AND(D637&lt;&gt;"Yes",D637&lt;&gt;"No"),AND(E637&lt;&gt;"Yes",E637&lt;&gt;"No"),AND(F637&lt;&gt;"Yes",F637&lt;&gt;"No")),"Use Yes or No","OK")))))))</f>
      </c>
    </row>
    <row r="638">
      <c r="G638" s="4">
        <f>IF(A638="","",IF(COUNTIF(Venues!$A$2:$A$201,A638)=0,"Unknown venue code",IF(OR(B638="",D638="",E638="",F638=""),"Missing details",IF(LEN(B638)&gt;80,"Name too long",IF(COUNTIFS($A$2:$A$1001,A638,$B$2:$B$1001,B638)&gt;1,"Duplicate court name",IF(AND(C638&lt;&gt;"",C638&lt;&gt;"Hard",C638&lt;&gt;"Synthetic",C638&lt;&gt;"Other",C638&lt;&gt;"Not sure"),"Unknown surface",IF(OR(AND(D638&lt;&gt;"Yes",D638&lt;&gt;"No"),AND(E638&lt;&gt;"Yes",E638&lt;&gt;"No"),AND(F638&lt;&gt;"Yes",F638&lt;&gt;"No")),"Use Yes or No","OK")))))))</f>
      </c>
    </row>
    <row r="639">
      <c r="G639" s="4">
        <f>IF(A639="","",IF(COUNTIF(Venues!$A$2:$A$201,A639)=0,"Unknown venue code",IF(OR(B639="",D639="",E639="",F639=""),"Missing details",IF(LEN(B639)&gt;80,"Name too long",IF(COUNTIFS($A$2:$A$1001,A639,$B$2:$B$1001,B639)&gt;1,"Duplicate court name",IF(AND(C639&lt;&gt;"",C639&lt;&gt;"Hard",C639&lt;&gt;"Synthetic",C639&lt;&gt;"Other",C639&lt;&gt;"Not sure"),"Unknown surface",IF(OR(AND(D639&lt;&gt;"Yes",D639&lt;&gt;"No"),AND(E639&lt;&gt;"Yes",E639&lt;&gt;"No"),AND(F639&lt;&gt;"Yes",F639&lt;&gt;"No")),"Use Yes or No","OK")))))))</f>
      </c>
    </row>
    <row r="640">
      <c r="G640" s="4">
        <f>IF(A640="","",IF(COUNTIF(Venues!$A$2:$A$201,A640)=0,"Unknown venue code",IF(OR(B640="",D640="",E640="",F640=""),"Missing details",IF(LEN(B640)&gt;80,"Name too long",IF(COUNTIFS($A$2:$A$1001,A640,$B$2:$B$1001,B640)&gt;1,"Duplicate court name",IF(AND(C640&lt;&gt;"",C640&lt;&gt;"Hard",C640&lt;&gt;"Synthetic",C640&lt;&gt;"Other",C640&lt;&gt;"Not sure"),"Unknown surface",IF(OR(AND(D640&lt;&gt;"Yes",D640&lt;&gt;"No"),AND(E640&lt;&gt;"Yes",E640&lt;&gt;"No"),AND(F640&lt;&gt;"Yes",F640&lt;&gt;"No")),"Use Yes or No","OK")))))))</f>
      </c>
    </row>
    <row r="641">
      <c r="G641" s="4">
        <f>IF(A641="","",IF(COUNTIF(Venues!$A$2:$A$201,A641)=0,"Unknown venue code",IF(OR(B641="",D641="",E641="",F641=""),"Missing details",IF(LEN(B641)&gt;80,"Name too long",IF(COUNTIFS($A$2:$A$1001,A641,$B$2:$B$1001,B641)&gt;1,"Duplicate court name",IF(AND(C641&lt;&gt;"",C641&lt;&gt;"Hard",C641&lt;&gt;"Synthetic",C641&lt;&gt;"Other",C641&lt;&gt;"Not sure"),"Unknown surface",IF(OR(AND(D641&lt;&gt;"Yes",D641&lt;&gt;"No"),AND(E641&lt;&gt;"Yes",E641&lt;&gt;"No"),AND(F641&lt;&gt;"Yes",F641&lt;&gt;"No")),"Use Yes or No","OK")))))))</f>
      </c>
    </row>
    <row r="642">
      <c r="G642" s="4">
        <f>IF(A642="","",IF(COUNTIF(Venues!$A$2:$A$201,A642)=0,"Unknown venue code",IF(OR(B642="",D642="",E642="",F642=""),"Missing details",IF(LEN(B642)&gt;80,"Name too long",IF(COUNTIFS($A$2:$A$1001,A642,$B$2:$B$1001,B642)&gt;1,"Duplicate court name",IF(AND(C642&lt;&gt;"",C642&lt;&gt;"Hard",C642&lt;&gt;"Synthetic",C642&lt;&gt;"Other",C642&lt;&gt;"Not sure"),"Unknown surface",IF(OR(AND(D642&lt;&gt;"Yes",D642&lt;&gt;"No"),AND(E642&lt;&gt;"Yes",E642&lt;&gt;"No"),AND(F642&lt;&gt;"Yes",F642&lt;&gt;"No")),"Use Yes or No","OK")))))))</f>
      </c>
    </row>
    <row r="643">
      <c r="G643" s="4">
        <f>IF(A643="","",IF(COUNTIF(Venues!$A$2:$A$201,A643)=0,"Unknown venue code",IF(OR(B643="",D643="",E643="",F643=""),"Missing details",IF(LEN(B643)&gt;80,"Name too long",IF(COUNTIFS($A$2:$A$1001,A643,$B$2:$B$1001,B643)&gt;1,"Duplicate court name",IF(AND(C643&lt;&gt;"",C643&lt;&gt;"Hard",C643&lt;&gt;"Synthetic",C643&lt;&gt;"Other",C643&lt;&gt;"Not sure"),"Unknown surface",IF(OR(AND(D643&lt;&gt;"Yes",D643&lt;&gt;"No"),AND(E643&lt;&gt;"Yes",E643&lt;&gt;"No"),AND(F643&lt;&gt;"Yes",F643&lt;&gt;"No")),"Use Yes or No","OK")))))))</f>
      </c>
    </row>
    <row r="644">
      <c r="G644" s="4">
        <f>IF(A644="","",IF(COUNTIF(Venues!$A$2:$A$201,A644)=0,"Unknown venue code",IF(OR(B644="",D644="",E644="",F644=""),"Missing details",IF(LEN(B644)&gt;80,"Name too long",IF(COUNTIFS($A$2:$A$1001,A644,$B$2:$B$1001,B644)&gt;1,"Duplicate court name",IF(AND(C644&lt;&gt;"",C644&lt;&gt;"Hard",C644&lt;&gt;"Synthetic",C644&lt;&gt;"Other",C644&lt;&gt;"Not sure"),"Unknown surface",IF(OR(AND(D644&lt;&gt;"Yes",D644&lt;&gt;"No"),AND(E644&lt;&gt;"Yes",E644&lt;&gt;"No"),AND(F644&lt;&gt;"Yes",F644&lt;&gt;"No")),"Use Yes or No","OK")))))))</f>
      </c>
    </row>
    <row r="645">
      <c r="G645" s="4">
        <f>IF(A645="","",IF(COUNTIF(Venues!$A$2:$A$201,A645)=0,"Unknown venue code",IF(OR(B645="",D645="",E645="",F645=""),"Missing details",IF(LEN(B645)&gt;80,"Name too long",IF(COUNTIFS($A$2:$A$1001,A645,$B$2:$B$1001,B645)&gt;1,"Duplicate court name",IF(AND(C645&lt;&gt;"",C645&lt;&gt;"Hard",C645&lt;&gt;"Synthetic",C645&lt;&gt;"Other",C645&lt;&gt;"Not sure"),"Unknown surface",IF(OR(AND(D645&lt;&gt;"Yes",D645&lt;&gt;"No"),AND(E645&lt;&gt;"Yes",E645&lt;&gt;"No"),AND(F645&lt;&gt;"Yes",F645&lt;&gt;"No")),"Use Yes or No","OK")))))))</f>
      </c>
    </row>
    <row r="646">
      <c r="G646" s="4">
        <f>IF(A646="","",IF(COUNTIF(Venues!$A$2:$A$201,A646)=0,"Unknown venue code",IF(OR(B646="",D646="",E646="",F646=""),"Missing details",IF(LEN(B646)&gt;80,"Name too long",IF(COUNTIFS($A$2:$A$1001,A646,$B$2:$B$1001,B646)&gt;1,"Duplicate court name",IF(AND(C646&lt;&gt;"",C646&lt;&gt;"Hard",C646&lt;&gt;"Synthetic",C646&lt;&gt;"Other",C646&lt;&gt;"Not sure"),"Unknown surface",IF(OR(AND(D646&lt;&gt;"Yes",D646&lt;&gt;"No"),AND(E646&lt;&gt;"Yes",E646&lt;&gt;"No"),AND(F646&lt;&gt;"Yes",F646&lt;&gt;"No")),"Use Yes or No","OK")))))))</f>
      </c>
    </row>
    <row r="647">
      <c r="G647" s="4">
        <f>IF(A647="","",IF(COUNTIF(Venues!$A$2:$A$201,A647)=0,"Unknown venue code",IF(OR(B647="",D647="",E647="",F647=""),"Missing details",IF(LEN(B647)&gt;80,"Name too long",IF(COUNTIFS($A$2:$A$1001,A647,$B$2:$B$1001,B647)&gt;1,"Duplicate court name",IF(AND(C647&lt;&gt;"",C647&lt;&gt;"Hard",C647&lt;&gt;"Synthetic",C647&lt;&gt;"Other",C647&lt;&gt;"Not sure"),"Unknown surface",IF(OR(AND(D647&lt;&gt;"Yes",D647&lt;&gt;"No"),AND(E647&lt;&gt;"Yes",E647&lt;&gt;"No"),AND(F647&lt;&gt;"Yes",F647&lt;&gt;"No")),"Use Yes or No","OK")))))))</f>
      </c>
    </row>
    <row r="648">
      <c r="G648" s="4">
        <f>IF(A648="","",IF(COUNTIF(Venues!$A$2:$A$201,A648)=0,"Unknown venue code",IF(OR(B648="",D648="",E648="",F648=""),"Missing details",IF(LEN(B648)&gt;80,"Name too long",IF(COUNTIFS($A$2:$A$1001,A648,$B$2:$B$1001,B648)&gt;1,"Duplicate court name",IF(AND(C648&lt;&gt;"",C648&lt;&gt;"Hard",C648&lt;&gt;"Synthetic",C648&lt;&gt;"Other",C648&lt;&gt;"Not sure"),"Unknown surface",IF(OR(AND(D648&lt;&gt;"Yes",D648&lt;&gt;"No"),AND(E648&lt;&gt;"Yes",E648&lt;&gt;"No"),AND(F648&lt;&gt;"Yes",F648&lt;&gt;"No")),"Use Yes or No","OK")))))))</f>
      </c>
    </row>
    <row r="649">
      <c r="G649" s="4">
        <f>IF(A649="","",IF(COUNTIF(Venues!$A$2:$A$201,A649)=0,"Unknown venue code",IF(OR(B649="",D649="",E649="",F649=""),"Missing details",IF(LEN(B649)&gt;80,"Name too long",IF(COUNTIFS($A$2:$A$1001,A649,$B$2:$B$1001,B649)&gt;1,"Duplicate court name",IF(AND(C649&lt;&gt;"",C649&lt;&gt;"Hard",C649&lt;&gt;"Synthetic",C649&lt;&gt;"Other",C649&lt;&gt;"Not sure"),"Unknown surface",IF(OR(AND(D649&lt;&gt;"Yes",D649&lt;&gt;"No"),AND(E649&lt;&gt;"Yes",E649&lt;&gt;"No"),AND(F649&lt;&gt;"Yes",F649&lt;&gt;"No")),"Use Yes or No","OK")))))))</f>
      </c>
    </row>
    <row r="650">
      <c r="G650" s="4">
        <f>IF(A650="","",IF(COUNTIF(Venues!$A$2:$A$201,A650)=0,"Unknown venue code",IF(OR(B650="",D650="",E650="",F650=""),"Missing details",IF(LEN(B650)&gt;80,"Name too long",IF(COUNTIFS($A$2:$A$1001,A650,$B$2:$B$1001,B650)&gt;1,"Duplicate court name",IF(AND(C650&lt;&gt;"",C650&lt;&gt;"Hard",C650&lt;&gt;"Synthetic",C650&lt;&gt;"Other",C650&lt;&gt;"Not sure"),"Unknown surface",IF(OR(AND(D650&lt;&gt;"Yes",D650&lt;&gt;"No"),AND(E650&lt;&gt;"Yes",E650&lt;&gt;"No"),AND(F650&lt;&gt;"Yes",F650&lt;&gt;"No")),"Use Yes or No","OK")))))))</f>
      </c>
    </row>
    <row r="651">
      <c r="G651" s="4">
        <f>IF(A651="","",IF(COUNTIF(Venues!$A$2:$A$201,A651)=0,"Unknown venue code",IF(OR(B651="",D651="",E651="",F651=""),"Missing details",IF(LEN(B651)&gt;80,"Name too long",IF(COUNTIFS($A$2:$A$1001,A651,$B$2:$B$1001,B651)&gt;1,"Duplicate court name",IF(AND(C651&lt;&gt;"",C651&lt;&gt;"Hard",C651&lt;&gt;"Synthetic",C651&lt;&gt;"Other",C651&lt;&gt;"Not sure"),"Unknown surface",IF(OR(AND(D651&lt;&gt;"Yes",D651&lt;&gt;"No"),AND(E651&lt;&gt;"Yes",E651&lt;&gt;"No"),AND(F651&lt;&gt;"Yes",F651&lt;&gt;"No")),"Use Yes or No","OK")))))))</f>
      </c>
    </row>
    <row r="652">
      <c r="G652" s="4">
        <f>IF(A652="","",IF(COUNTIF(Venues!$A$2:$A$201,A652)=0,"Unknown venue code",IF(OR(B652="",D652="",E652="",F652=""),"Missing details",IF(LEN(B652)&gt;80,"Name too long",IF(COUNTIFS($A$2:$A$1001,A652,$B$2:$B$1001,B652)&gt;1,"Duplicate court name",IF(AND(C652&lt;&gt;"",C652&lt;&gt;"Hard",C652&lt;&gt;"Synthetic",C652&lt;&gt;"Other",C652&lt;&gt;"Not sure"),"Unknown surface",IF(OR(AND(D652&lt;&gt;"Yes",D652&lt;&gt;"No"),AND(E652&lt;&gt;"Yes",E652&lt;&gt;"No"),AND(F652&lt;&gt;"Yes",F652&lt;&gt;"No")),"Use Yes or No","OK")))))))</f>
      </c>
    </row>
    <row r="653">
      <c r="G653" s="4">
        <f>IF(A653="","",IF(COUNTIF(Venues!$A$2:$A$201,A653)=0,"Unknown venue code",IF(OR(B653="",D653="",E653="",F653=""),"Missing details",IF(LEN(B653)&gt;80,"Name too long",IF(COUNTIFS($A$2:$A$1001,A653,$B$2:$B$1001,B653)&gt;1,"Duplicate court name",IF(AND(C653&lt;&gt;"",C653&lt;&gt;"Hard",C653&lt;&gt;"Synthetic",C653&lt;&gt;"Other",C653&lt;&gt;"Not sure"),"Unknown surface",IF(OR(AND(D653&lt;&gt;"Yes",D653&lt;&gt;"No"),AND(E653&lt;&gt;"Yes",E653&lt;&gt;"No"),AND(F653&lt;&gt;"Yes",F653&lt;&gt;"No")),"Use Yes or No","OK")))))))</f>
      </c>
    </row>
    <row r="654">
      <c r="G654" s="4">
        <f>IF(A654="","",IF(COUNTIF(Venues!$A$2:$A$201,A654)=0,"Unknown venue code",IF(OR(B654="",D654="",E654="",F654=""),"Missing details",IF(LEN(B654)&gt;80,"Name too long",IF(COUNTIFS($A$2:$A$1001,A654,$B$2:$B$1001,B654)&gt;1,"Duplicate court name",IF(AND(C654&lt;&gt;"",C654&lt;&gt;"Hard",C654&lt;&gt;"Synthetic",C654&lt;&gt;"Other",C654&lt;&gt;"Not sure"),"Unknown surface",IF(OR(AND(D654&lt;&gt;"Yes",D654&lt;&gt;"No"),AND(E654&lt;&gt;"Yes",E654&lt;&gt;"No"),AND(F654&lt;&gt;"Yes",F654&lt;&gt;"No")),"Use Yes or No","OK")))))))</f>
      </c>
    </row>
    <row r="655">
      <c r="G655" s="4">
        <f>IF(A655="","",IF(COUNTIF(Venues!$A$2:$A$201,A655)=0,"Unknown venue code",IF(OR(B655="",D655="",E655="",F655=""),"Missing details",IF(LEN(B655)&gt;80,"Name too long",IF(COUNTIFS($A$2:$A$1001,A655,$B$2:$B$1001,B655)&gt;1,"Duplicate court name",IF(AND(C655&lt;&gt;"",C655&lt;&gt;"Hard",C655&lt;&gt;"Synthetic",C655&lt;&gt;"Other",C655&lt;&gt;"Not sure"),"Unknown surface",IF(OR(AND(D655&lt;&gt;"Yes",D655&lt;&gt;"No"),AND(E655&lt;&gt;"Yes",E655&lt;&gt;"No"),AND(F655&lt;&gt;"Yes",F655&lt;&gt;"No")),"Use Yes or No","OK")))))))</f>
      </c>
    </row>
    <row r="656">
      <c r="G656" s="4">
        <f>IF(A656="","",IF(COUNTIF(Venues!$A$2:$A$201,A656)=0,"Unknown venue code",IF(OR(B656="",D656="",E656="",F656=""),"Missing details",IF(LEN(B656)&gt;80,"Name too long",IF(COUNTIFS($A$2:$A$1001,A656,$B$2:$B$1001,B656)&gt;1,"Duplicate court name",IF(AND(C656&lt;&gt;"",C656&lt;&gt;"Hard",C656&lt;&gt;"Synthetic",C656&lt;&gt;"Other",C656&lt;&gt;"Not sure"),"Unknown surface",IF(OR(AND(D656&lt;&gt;"Yes",D656&lt;&gt;"No"),AND(E656&lt;&gt;"Yes",E656&lt;&gt;"No"),AND(F656&lt;&gt;"Yes",F656&lt;&gt;"No")),"Use Yes or No","OK")))))))</f>
      </c>
    </row>
    <row r="657">
      <c r="G657" s="4">
        <f>IF(A657="","",IF(COUNTIF(Venues!$A$2:$A$201,A657)=0,"Unknown venue code",IF(OR(B657="",D657="",E657="",F657=""),"Missing details",IF(LEN(B657)&gt;80,"Name too long",IF(COUNTIFS($A$2:$A$1001,A657,$B$2:$B$1001,B657)&gt;1,"Duplicate court name",IF(AND(C657&lt;&gt;"",C657&lt;&gt;"Hard",C657&lt;&gt;"Synthetic",C657&lt;&gt;"Other",C657&lt;&gt;"Not sure"),"Unknown surface",IF(OR(AND(D657&lt;&gt;"Yes",D657&lt;&gt;"No"),AND(E657&lt;&gt;"Yes",E657&lt;&gt;"No"),AND(F657&lt;&gt;"Yes",F657&lt;&gt;"No")),"Use Yes or No","OK")))))))</f>
      </c>
    </row>
    <row r="658">
      <c r="G658" s="4">
        <f>IF(A658="","",IF(COUNTIF(Venues!$A$2:$A$201,A658)=0,"Unknown venue code",IF(OR(B658="",D658="",E658="",F658=""),"Missing details",IF(LEN(B658)&gt;80,"Name too long",IF(COUNTIFS($A$2:$A$1001,A658,$B$2:$B$1001,B658)&gt;1,"Duplicate court name",IF(AND(C658&lt;&gt;"",C658&lt;&gt;"Hard",C658&lt;&gt;"Synthetic",C658&lt;&gt;"Other",C658&lt;&gt;"Not sure"),"Unknown surface",IF(OR(AND(D658&lt;&gt;"Yes",D658&lt;&gt;"No"),AND(E658&lt;&gt;"Yes",E658&lt;&gt;"No"),AND(F658&lt;&gt;"Yes",F658&lt;&gt;"No")),"Use Yes or No","OK")))))))</f>
      </c>
    </row>
    <row r="659">
      <c r="G659" s="4">
        <f>IF(A659="","",IF(COUNTIF(Venues!$A$2:$A$201,A659)=0,"Unknown venue code",IF(OR(B659="",D659="",E659="",F659=""),"Missing details",IF(LEN(B659)&gt;80,"Name too long",IF(COUNTIFS($A$2:$A$1001,A659,$B$2:$B$1001,B659)&gt;1,"Duplicate court name",IF(AND(C659&lt;&gt;"",C659&lt;&gt;"Hard",C659&lt;&gt;"Synthetic",C659&lt;&gt;"Other",C659&lt;&gt;"Not sure"),"Unknown surface",IF(OR(AND(D659&lt;&gt;"Yes",D659&lt;&gt;"No"),AND(E659&lt;&gt;"Yes",E659&lt;&gt;"No"),AND(F659&lt;&gt;"Yes",F659&lt;&gt;"No")),"Use Yes or No","OK")))))))</f>
      </c>
    </row>
    <row r="660">
      <c r="G660" s="4">
        <f>IF(A660="","",IF(COUNTIF(Venues!$A$2:$A$201,A660)=0,"Unknown venue code",IF(OR(B660="",D660="",E660="",F660=""),"Missing details",IF(LEN(B660)&gt;80,"Name too long",IF(COUNTIFS($A$2:$A$1001,A660,$B$2:$B$1001,B660)&gt;1,"Duplicate court name",IF(AND(C660&lt;&gt;"",C660&lt;&gt;"Hard",C660&lt;&gt;"Synthetic",C660&lt;&gt;"Other",C660&lt;&gt;"Not sure"),"Unknown surface",IF(OR(AND(D660&lt;&gt;"Yes",D660&lt;&gt;"No"),AND(E660&lt;&gt;"Yes",E660&lt;&gt;"No"),AND(F660&lt;&gt;"Yes",F660&lt;&gt;"No")),"Use Yes or No","OK")))))))</f>
      </c>
    </row>
    <row r="661">
      <c r="G661" s="4">
        <f>IF(A661="","",IF(COUNTIF(Venues!$A$2:$A$201,A661)=0,"Unknown venue code",IF(OR(B661="",D661="",E661="",F661=""),"Missing details",IF(LEN(B661)&gt;80,"Name too long",IF(COUNTIFS($A$2:$A$1001,A661,$B$2:$B$1001,B661)&gt;1,"Duplicate court name",IF(AND(C661&lt;&gt;"",C661&lt;&gt;"Hard",C661&lt;&gt;"Synthetic",C661&lt;&gt;"Other",C661&lt;&gt;"Not sure"),"Unknown surface",IF(OR(AND(D661&lt;&gt;"Yes",D661&lt;&gt;"No"),AND(E661&lt;&gt;"Yes",E661&lt;&gt;"No"),AND(F661&lt;&gt;"Yes",F661&lt;&gt;"No")),"Use Yes or No","OK")))))))</f>
      </c>
    </row>
    <row r="662">
      <c r="G662" s="4">
        <f>IF(A662="","",IF(COUNTIF(Venues!$A$2:$A$201,A662)=0,"Unknown venue code",IF(OR(B662="",D662="",E662="",F662=""),"Missing details",IF(LEN(B662)&gt;80,"Name too long",IF(COUNTIFS($A$2:$A$1001,A662,$B$2:$B$1001,B662)&gt;1,"Duplicate court name",IF(AND(C662&lt;&gt;"",C662&lt;&gt;"Hard",C662&lt;&gt;"Synthetic",C662&lt;&gt;"Other",C662&lt;&gt;"Not sure"),"Unknown surface",IF(OR(AND(D662&lt;&gt;"Yes",D662&lt;&gt;"No"),AND(E662&lt;&gt;"Yes",E662&lt;&gt;"No"),AND(F662&lt;&gt;"Yes",F662&lt;&gt;"No")),"Use Yes or No","OK")))))))</f>
      </c>
    </row>
    <row r="663">
      <c r="G663" s="4">
        <f>IF(A663="","",IF(COUNTIF(Venues!$A$2:$A$201,A663)=0,"Unknown venue code",IF(OR(B663="",D663="",E663="",F663=""),"Missing details",IF(LEN(B663)&gt;80,"Name too long",IF(COUNTIFS($A$2:$A$1001,A663,$B$2:$B$1001,B663)&gt;1,"Duplicate court name",IF(AND(C663&lt;&gt;"",C663&lt;&gt;"Hard",C663&lt;&gt;"Synthetic",C663&lt;&gt;"Other",C663&lt;&gt;"Not sure"),"Unknown surface",IF(OR(AND(D663&lt;&gt;"Yes",D663&lt;&gt;"No"),AND(E663&lt;&gt;"Yes",E663&lt;&gt;"No"),AND(F663&lt;&gt;"Yes",F663&lt;&gt;"No")),"Use Yes or No","OK")))))))</f>
      </c>
    </row>
    <row r="664">
      <c r="G664" s="4">
        <f>IF(A664="","",IF(COUNTIF(Venues!$A$2:$A$201,A664)=0,"Unknown venue code",IF(OR(B664="",D664="",E664="",F664=""),"Missing details",IF(LEN(B664)&gt;80,"Name too long",IF(COUNTIFS($A$2:$A$1001,A664,$B$2:$B$1001,B664)&gt;1,"Duplicate court name",IF(AND(C664&lt;&gt;"",C664&lt;&gt;"Hard",C664&lt;&gt;"Synthetic",C664&lt;&gt;"Other",C664&lt;&gt;"Not sure"),"Unknown surface",IF(OR(AND(D664&lt;&gt;"Yes",D664&lt;&gt;"No"),AND(E664&lt;&gt;"Yes",E664&lt;&gt;"No"),AND(F664&lt;&gt;"Yes",F664&lt;&gt;"No")),"Use Yes or No","OK")))))))</f>
      </c>
    </row>
    <row r="665">
      <c r="G665" s="4">
        <f>IF(A665="","",IF(COUNTIF(Venues!$A$2:$A$201,A665)=0,"Unknown venue code",IF(OR(B665="",D665="",E665="",F665=""),"Missing details",IF(LEN(B665)&gt;80,"Name too long",IF(COUNTIFS($A$2:$A$1001,A665,$B$2:$B$1001,B665)&gt;1,"Duplicate court name",IF(AND(C665&lt;&gt;"",C665&lt;&gt;"Hard",C665&lt;&gt;"Synthetic",C665&lt;&gt;"Other",C665&lt;&gt;"Not sure"),"Unknown surface",IF(OR(AND(D665&lt;&gt;"Yes",D665&lt;&gt;"No"),AND(E665&lt;&gt;"Yes",E665&lt;&gt;"No"),AND(F665&lt;&gt;"Yes",F665&lt;&gt;"No")),"Use Yes or No","OK")))))))</f>
      </c>
    </row>
    <row r="666">
      <c r="G666" s="4">
        <f>IF(A666="","",IF(COUNTIF(Venues!$A$2:$A$201,A666)=0,"Unknown venue code",IF(OR(B666="",D666="",E666="",F666=""),"Missing details",IF(LEN(B666)&gt;80,"Name too long",IF(COUNTIFS($A$2:$A$1001,A666,$B$2:$B$1001,B666)&gt;1,"Duplicate court name",IF(AND(C666&lt;&gt;"",C666&lt;&gt;"Hard",C666&lt;&gt;"Synthetic",C666&lt;&gt;"Other",C666&lt;&gt;"Not sure"),"Unknown surface",IF(OR(AND(D666&lt;&gt;"Yes",D666&lt;&gt;"No"),AND(E666&lt;&gt;"Yes",E666&lt;&gt;"No"),AND(F666&lt;&gt;"Yes",F666&lt;&gt;"No")),"Use Yes or No","OK")))))))</f>
      </c>
    </row>
    <row r="667">
      <c r="G667" s="4">
        <f>IF(A667="","",IF(COUNTIF(Venues!$A$2:$A$201,A667)=0,"Unknown venue code",IF(OR(B667="",D667="",E667="",F667=""),"Missing details",IF(LEN(B667)&gt;80,"Name too long",IF(COUNTIFS($A$2:$A$1001,A667,$B$2:$B$1001,B667)&gt;1,"Duplicate court name",IF(AND(C667&lt;&gt;"",C667&lt;&gt;"Hard",C667&lt;&gt;"Synthetic",C667&lt;&gt;"Other",C667&lt;&gt;"Not sure"),"Unknown surface",IF(OR(AND(D667&lt;&gt;"Yes",D667&lt;&gt;"No"),AND(E667&lt;&gt;"Yes",E667&lt;&gt;"No"),AND(F667&lt;&gt;"Yes",F667&lt;&gt;"No")),"Use Yes or No","OK")))))))</f>
      </c>
    </row>
    <row r="668">
      <c r="G668" s="4">
        <f>IF(A668="","",IF(COUNTIF(Venues!$A$2:$A$201,A668)=0,"Unknown venue code",IF(OR(B668="",D668="",E668="",F668=""),"Missing details",IF(LEN(B668)&gt;80,"Name too long",IF(COUNTIFS($A$2:$A$1001,A668,$B$2:$B$1001,B668)&gt;1,"Duplicate court name",IF(AND(C668&lt;&gt;"",C668&lt;&gt;"Hard",C668&lt;&gt;"Synthetic",C668&lt;&gt;"Other",C668&lt;&gt;"Not sure"),"Unknown surface",IF(OR(AND(D668&lt;&gt;"Yes",D668&lt;&gt;"No"),AND(E668&lt;&gt;"Yes",E668&lt;&gt;"No"),AND(F668&lt;&gt;"Yes",F668&lt;&gt;"No")),"Use Yes or No","OK")))))))</f>
      </c>
    </row>
    <row r="669">
      <c r="G669" s="4">
        <f>IF(A669="","",IF(COUNTIF(Venues!$A$2:$A$201,A669)=0,"Unknown venue code",IF(OR(B669="",D669="",E669="",F669=""),"Missing details",IF(LEN(B669)&gt;80,"Name too long",IF(COUNTIFS($A$2:$A$1001,A669,$B$2:$B$1001,B669)&gt;1,"Duplicate court name",IF(AND(C669&lt;&gt;"",C669&lt;&gt;"Hard",C669&lt;&gt;"Synthetic",C669&lt;&gt;"Other",C669&lt;&gt;"Not sure"),"Unknown surface",IF(OR(AND(D669&lt;&gt;"Yes",D669&lt;&gt;"No"),AND(E669&lt;&gt;"Yes",E669&lt;&gt;"No"),AND(F669&lt;&gt;"Yes",F669&lt;&gt;"No")),"Use Yes or No","OK")))))))</f>
      </c>
    </row>
    <row r="670">
      <c r="G670" s="4">
        <f>IF(A670="","",IF(COUNTIF(Venues!$A$2:$A$201,A670)=0,"Unknown venue code",IF(OR(B670="",D670="",E670="",F670=""),"Missing details",IF(LEN(B670)&gt;80,"Name too long",IF(COUNTIFS($A$2:$A$1001,A670,$B$2:$B$1001,B670)&gt;1,"Duplicate court name",IF(AND(C670&lt;&gt;"",C670&lt;&gt;"Hard",C670&lt;&gt;"Synthetic",C670&lt;&gt;"Other",C670&lt;&gt;"Not sure"),"Unknown surface",IF(OR(AND(D670&lt;&gt;"Yes",D670&lt;&gt;"No"),AND(E670&lt;&gt;"Yes",E670&lt;&gt;"No"),AND(F670&lt;&gt;"Yes",F670&lt;&gt;"No")),"Use Yes or No","OK")))))))</f>
      </c>
    </row>
    <row r="671">
      <c r="G671" s="4">
        <f>IF(A671="","",IF(COUNTIF(Venues!$A$2:$A$201,A671)=0,"Unknown venue code",IF(OR(B671="",D671="",E671="",F671=""),"Missing details",IF(LEN(B671)&gt;80,"Name too long",IF(COUNTIFS($A$2:$A$1001,A671,$B$2:$B$1001,B671)&gt;1,"Duplicate court name",IF(AND(C671&lt;&gt;"",C671&lt;&gt;"Hard",C671&lt;&gt;"Synthetic",C671&lt;&gt;"Other",C671&lt;&gt;"Not sure"),"Unknown surface",IF(OR(AND(D671&lt;&gt;"Yes",D671&lt;&gt;"No"),AND(E671&lt;&gt;"Yes",E671&lt;&gt;"No"),AND(F671&lt;&gt;"Yes",F671&lt;&gt;"No")),"Use Yes or No","OK")))))))</f>
      </c>
    </row>
    <row r="672">
      <c r="G672" s="4">
        <f>IF(A672="","",IF(COUNTIF(Venues!$A$2:$A$201,A672)=0,"Unknown venue code",IF(OR(B672="",D672="",E672="",F672=""),"Missing details",IF(LEN(B672)&gt;80,"Name too long",IF(COUNTIFS($A$2:$A$1001,A672,$B$2:$B$1001,B672)&gt;1,"Duplicate court name",IF(AND(C672&lt;&gt;"",C672&lt;&gt;"Hard",C672&lt;&gt;"Synthetic",C672&lt;&gt;"Other",C672&lt;&gt;"Not sure"),"Unknown surface",IF(OR(AND(D672&lt;&gt;"Yes",D672&lt;&gt;"No"),AND(E672&lt;&gt;"Yes",E672&lt;&gt;"No"),AND(F672&lt;&gt;"Yes",F672&lt;&gt;"No")),"Use Yes or No","OK")))))))</f>
      </c>
    </row>
    <row r="673">
      <c r="G673" s="4">
        <f>IF(A673="","",IF(COUNTIF(Venues!$A$2:$A$201,A673)=0,"Unknown venue code",IF(OR(B673="",D673="",E673="",F673=""),"Missing details",IF(LEN(B673)&gt;80,"Name too long",IF(COUNTIFS($A$2:$A$1001,A673,$B$2:$B$1001,B673)&gt;1,"Duplicate court name",IF(AND(C673&lt;&gt;"",C673&lt;&gt;"Hard",C673&lt;&gt;"Synthetic",C673&lt;&gt;"Other",C673&lt;&gt;"Not sure"),"Unknown surface",IF(OR(AND(D673&lt;&gt;"Yes",D673&lt;&gt;"No"),AND(E673&lt;&gt;"Yes",E673&lt;&gt;"No"),AND(F673&lt;&gt;"Yes",F673&lt;&gt;"No")),"Use Yes or No","OK")))))))</f>
      </c>
    </row>
    <row r="674">
      <c r="G674" s="4">
        <f>IF(A674="","",IF(COUNTIF(Venues!$A$2:$A$201,A674)=0,"Unknown venue code",IF(OR(B674="",D674="",E674="",F674=""),"Missing details",IF(LEN(B674)&gt;80,"Name too long",IF(COUNTIFS($A$2:$A$1001,A674,$B$2:$B$1001,B674)&gt;1,"Duplicate court name",IF(AND(C674&lt;&gt;"",C674&lt;&gt;"Hard",C674&lt;&gt;"Synthetic",C674&lt;&gt;"Other",C674&lt;&gt;"Not sure"),"Unknown surface",IF(OR(AND(D674&lt;&gt;"Yes",D674&lt;&gt;"No"),AND(E674&lt;&gt;"Yes",E674&lt;&gt;"No"),AND(F674&lt;&gt;"Yes",F674&lt;&gt;"No")),"Use Yes or No","OK")))))))</f>
      </c>
    </row>
    <row r="675">
      <c r="G675" s="4">
        <f>IF(A675="","",IF(COUNTIF(Venues!$A$2:$A$201,A675)=0,"Unknown venue code",IF(OR(B675="",D675="",E675="",F675=""),"Missing details",IF(LEN(B675)&gt;80,"Name too long",IF(COUNTIFS($A$2:$A$1001,A675,$B$2:$B$1001,B675)&gt;1,"Duplicate court name",IF(AND(C675&lt;&gt;"",C675&lt;&gt;"Hard",C675&lt;&gt;"Synthetic",C675&lt;&gt;"Other",C675&lt;&gt;"Not sure"),"Unknown surface",IF(OR(AND(D675&lt;&gt;"Yes",D675&lt;&gt;"No"),AND(E675&lt;&gt;"Yes",E675&lt;&gt;"No"),AND(F675&lt;&gt;"Yes",F675&lt;&gt;"No")),"Use Yes or No","OK")))))))</f>
      </c>
    </row>
    <row r="676">
      <c r="G676" s="4">
        <f>IF(A676="","",IF(COUNTIF(Venues!$A$2:$A$201,A676)=0,"Unknown venue code",IF(OR(B676="",D676="",E676="",F676=""),"Missing details",IF(LEN(B676)&gt;80,"Name too long",IF(COUNTIFS($A$2:$A$1001,A676,$B$2:$B$1001,B676)&gt;1,"Duplicate court name",IF(AND(C676&lt;&gt;"",C676&lt;&gt;"Hard",C676&lt;&gt;"Synthetic",C676&lt;&gt;"Other",C676&lt;&gt;"Not sure"),"Unknown surface",IF(OR(AND(D676&lt;&gt;"Yes",D676&lt;&gt;"No"),AND(E676&lt;&gt;"Yes",E676&lt;&gt;"No"),AND(F676&lt;&gt;"Yes",F676&lt;&gt;"No")),"Use Yes or No","OK")))))))</f>
      </c>
    </row>
    <row r="677">
      <c r="G677" s="4">
        <f>IF(A677="","",IF(COUNTIF(Venues!$A$2:$A$201,A677)=0,"Unknown venue code",IF(OR(B677="",D677="",E677="",F677=""),"Missing details",IF(LEN(B677)&gt;80,"Name too long",IF(COUNTIFS($A$2:$A$1001,A677,$B$2:$B$1001,B677)&gt;1,"Duplicate court name",IF(AND(C677&lt;&gt;"",C677&lt;&gt;"Hard",C677&lt;&gt;"Synthetic",C677&lt;&gt;"Other",C677&lt;&gt;"Not sure"),"Unknown surface",IF(OR(AND(D677&lt;&gt;"Yes",D677&lt;&gt;"No"),AND(E677&lt;&gt;"Yes",E677&lt;&gt;"No"),AND(F677&lt;&gt;"Yes",F677&lt;&gt;"No")),"Use Yes or No","OK")))))))</f>
      </c>
    </row>
    <row r="678">
      <c r="G678" s="4">
        <f>IF(A678="","",IF(COUNTIF(Venues!$A$2:$A$201,A678)=0,"Unknown venue code",IF(OR(B678="",D678="",E678="",F678=""),"Missing details",IF(LEN(B678)&gt;80,"Name too long",IF(COUNTIFS($A$2:$A$1001,A678,$B$2:$B$1001,B678)&gt;1,"Duplicate court name",IF(AND(C678&lt;&gt;"",C678&lt;&gt;"Hard",C678&lt;&gt;"Synthetic",C678&lt;&gt;"Other",C678&lt;&gt;"Not sure"),"Unknown surface",IF(OR(AND(D678&lt;&gt;"Yes",D678&lt;&gt;"No"),AND(E678&lt;&gt;"Yes",E678&lt;&gt;"No"),AND(F678&lt;&gt;"Yes",F678&lt;&gt;"No")),"Use Yes or No","OK")))))))</f>
      </c>
    </row>
    <row r="679">
      <c r="G679" s="4">
        <f>IF(A679="","",IF(COUNTIF(Venues!$A$2:$A$201,A679)=0,"Unknown venue code",IF(OR(B679="",D679="",E679="",F679=""),"Missing details",IF(LEN(B679)&gt;80,"Name too long",IF(COUNTIFS($A$2:$A$1001,A679,$B$2:$B$1001,B679)&gt;1,"Duplicate court name",IF(AND(C679&lt;&gt;"",C679&lt;&gt;"Hard",C679&lt;&gt;"Synthetic",C679&lt;&gt;"Other",C679&lt;&gt;"Not sure"),"Unknown surface",IF(OR(AND(D679&lt;&gt;"Yes",D679&lt;&gt;"No"),AND(E679&lt;&gt;"Yes",E679&lt;&gt;"No"),AND(F679&lt;&gt;"Yes",F679&lt;&gt;"No")),"Use Yes or No","OK")))))))</f>
      </c>
    </row>
    <row r="680">
      <c r="G680" s="4">
        <f>IF(A680="","",IF(COUNTIF(Venues!$A$2:$A$201,A680)=0,"Unknown venue code",IF(OR(B680="",D680="",E680="",F680=""),"Missing details",IF(LEN(B680)&gt;80,"Name too long",IF(COUNTIFS($A$2:$A$1001,A680,$B$2:$B$1001,B680)&gt;1,"Duplicate court name",IF(AND(C680&lt;&gt;"",C680&lt;&gt;"Hard",C680&lt;&gt;"Synthetic",C680&lt;&gt;"Other",C680&lt;&gt;"Not sure"),"Unknown surface",IF(OR(AND(D680&lt;&gt;"Yes",D680&lt;&gt;"No"),AND(E680&lt;&gt;"Yes",E680&lt;&gt;"No"),AND(F680&lt;&gt;"Yes",F680&lt;&gt;"No")),"Use Yes or No","OK")))))))</f>
      </c>
    </row>
    <row r="681">
      <c r="G681" s="4">
        <f>IF(A681="","",IF(COUNTIF(Venues!$A$2:$A$201,A681)=0,"Unknown venue code",IF(OR(B681="",D681="",E681="",F681=""),"Missing details",IF(LEN(B681)&gt;80,"Name too long",IF(COUNTIFS($A$2:$A$1001,A681,$B$2:$B$1001,B681)&gt;1,"Duplicate court name",IF(AND(C681&lt;&gt;"",C681&lt;&gt;"Hard",C681&lt;&gt;"Synthetic",C681&lt;&gt;"Other",C681&lt;&gt;"Not sure"),"Unknown surface",IF(OR(AND(D681&lt;&gt;"Yes",D681&lt;&gt;"No"),AND(E681&lt;&gt;"Yes",E681&lt;&gt;"No"),AND(F681&lt;&gt;"Yes",F681&lt;&gt;"No")),"Use Yes or No","OK")))))))</f>
      </c>
    </row>
    <row r="682">
      <c r="G682" s="4">
        <f>IF(A682="","",IF(COUNTIF(Venues!$A$2:$A$201,A682)=0,"Unknown venue code",IF(OR(B682="",D682="",E682="",F682=""),"Missing details",IF(LEN(B682)&gt;80,"Name too long",IF(COUNTIFS($A$2:$A$1001,A682,$B$2:$B$1001,B682)&gt;1,"Duplicate court name",IF(AND(C682&lt;&gt;"",C682&lt;&gt;"Hard",C682&lt;&gt;"Synthetic",C682&lt;&gt;"Other",C682&lt;&gt;"Not sure"),"Unknown surface",IF(OR(AND(D682&lt;&gt;"Yes",D682&lt;&gt;"No"),AND(E682&lt;&gt;"Yes",E682&lt;&gt;"No"),AND(F682&lt;&gt;"Yes",F682&lt;&gt;"No")),"Use Yes or No","OK")))))))</f>
      </c>
    </row>
    <row r="683">
      <c r="G683" s="4">
        <f>IF(A683="","",IF(COUNTIF(Venues!$A$2:$A$201,A683)=0,"Unknown venue code",IF(OR(B683="",D683="",E683="",F683=""),"Missing details",IF(LEN(B683)&gt;80,"Name too long",IF(COUNTIFS($A$2:$A$1001,A683,$B$2:$B$1001,B683)&gt;1,"Duplicate court name",IF(AND(C683&lt;&gt;"",C683&lt;&gt;"Hard",C683&lt;&gt;"Synthetic",C683&lt;&gt;"Other",C683&lt;&gt;"Not sure"),"Unknown surface",IF(OR(AND(D683&lt;&gt;"Yes",D683&lt;&gt;"No"),AND(E683&lt;&gt;"Yes",E683&lt;&gt;"No"),AND(F683&lt;&gt;"Yes",F683&lt;&gt;"No")),"Use Yes or No","OK")))))))</f>
      </c>
    </row>
    <row r="684">
      <c r="G684" s="4">
        <f>IF(A684="","",IF(COUNTIF(Venues!$A$2:$A$201,A684)=0,"Unknown venue code",IF(OR(B684="",D684="",E684="",F684=""),"Missing details",IF(LEN(B684)&gt;80,"Name too long",IF(COUNTIFS($A$2:$A$1001,A684,$B$2:$B$1001,B684)&gt;1,"Duplicate court name",IF(AND(C684&lt;&gt;"",C684&lt;&gt;"Hard",C684&lt;&gt;"Synthetic",C684&lt;&gt;"Other",C684&lt;&gt;"Not sure"),"Unknown surface",IF(OR(AND(D684&lt;&gt;"Yes",D684&lt;&gt;"No"),AND(E684&lt;&gt;"Yes",E684&lt;&gt;"No"),AND(F684&lt;&gt;"Yes",F684&lt;&gt;"No")),"Use Yes or No","OK")))))))</f>
      </c>
    </row>
    <row r="685">
      <c r="G685" s="4">
        <f>IF(A685="","",IF(COUNTIF(Venues!$A$2:$A$201,A685)=0,"Unknown venue code",IF(OR(B685="",D685="",E685="",F685=""),"Missing details",IF(LEN(B685)&gt;80,"Name too long",IF(COUNTIFS($A$2:$A$1001,A685,$B$2:$B$1001,B685)&gt;1,"Duplicate court name",IF(AND(C685&lt;&gt;"",C685&lt;&gt;"Hard",C685&lt;&gt;"Synthetic",C685&lt;&gt;"Other",C685&lt;&gt;"Not sure"),"Unknown surface",IF(OR(AND(D685&lt;&gt;"Yes",D685&lt;&gt;"No"),AND(E685&lt;&gt;"Yes",E685&lt;&gt;"No"),AND(F685&lt;&gt;"Yes",F685&lt;&gt;"No")),"Use Yes or No","OK")))))))</f>
      </c>
    </row>
    <row r="686">
      <c r="G686" s="4">
        <f>IF(A686="","",IF(COUNTIF(Venues!$A$2:$A$201,A686)=0,"Unknown venue code",IF(OR(B686="",D686="",E686="",F686=""),"Missing details",IF(LEN(B686)&gt;80,"Name too long",IF(COUNTIFS($A$2:$A$1001,A686,$B$2:$B$1001,B686)&gt;1,"Duplicate court name",IF(AND(C686&lt;&gt;"",C686&lt;&gt;"Hard",C686&lt;&gt;"Synthetic",C686&lt;&gt;"Other",C686&lt;&gt;"Not sure"),"Unknown surface",IF(OR(AND(D686&lt;&gt;"Yes",D686&lt;&gt;"No"),AND(E686&lt;&gt;"Yes",E686&lt;&gt;"No"),AND(F686&lt;&gt;"Yes",F686&lt;&gt;"No")),"Use Yes or No","OK")))))))</f>
      </c>
    </row>
    <row r="687">
      <c r="G687" s="4">
        <f>IF(A687="","",IF(COUNTIF(Venues!$A$2:$A$201,A687)=0,"Unknown venue code",IF(OR(B687="",D687="",E687="",F687=""),"Missing details",IF(LEN(B687)&gt;80,"Name too long",IF(COUNTIFS($A$2:$A$1001,A687,$B$2:$B$1001,B687)&gt;1,"Duplicate court name",IF(AND(C687&lt;&gt;"",C687&lt;&gt;"Hard",C687&lt;&gt;"Synthetic",C687&lt;&gt;"Other",C687&lt;&gt;"Not sure"),"Unknown surface",IF(OR(AND(D687&lt;&gt;"Yes",D687&lt;&gt;"No"),AND(E687&lt;&gt;"Yes",E687&lt;&gt;"No"),AND(F687&lt;&gt;"Yes",F687&lt;&gt;"No")),"Use Yes or No","OK")))))))</f>
      </c>
    </row>
    <row r="688">
      <c r="G688" s="4">
        <f>IF(A688="","",IF(COUNTIF(Venues!$A$2:$A$201,A688)=0,"Unknown venue code",IF(OR(B688="",D688="",E688="",F688=""),"Missing details",IF(LEN(B688)&gt;80,"Name too long",IF(COUNTIFS($A$2:$A$1001,A688,$B$2:$B$1001,B688)&gt;1,"Duplicate court name",IF(AND(C688&lt;&gt;"",C688&lt;&gt;"Hard",C688&lt;&gt;"Synthetic",C688&lt;&gt;"Other",C688&lt;&gt;"Not sure"),"Unknown surface",IF(OR(AND(D688&lt;&gt;"Yes",D688&lt;&gt;"No"),AND(E688&lt;&gt;"Yes",E688&lt;&gt;"No"),AND(F688&lt;&gt;"Yes",F688&lt;&gt;"No")),"Use Yes or No","OK")))))))</f>
      </c>
    </row>
    <row r="689">
      <c r="G689" s="4">
        <f>IF(A689="","",IF(COUNTIF(Venues!$A$2:$A$201,A689)=0,"Unknown venue code",IF(OR(B689="",D689="",E689="",F689=""),"Missing details",IF(LEN(B689)&gt;80,"Name too long",IF(COUNTIFS($A$2:$A$1001,A689,$B$2:$B$1001,B689)&gt;1,"Duplicate court name",IF(AND(C689&lt;&gt;"",C689&lt;&gt;"Hard",C689&lt;&gt;"Synthetic",C689&lt;&gt;"Other",C689&lt;&gt;"Not sure"),"Unknown surface",IF(OR(AND(D689&lt;&gt;"Yes",D689&lt;&gt;"No"),AND(E689&lt;&gt;"Yes",E689&lt;&gt;"No"),AND(F689&lt;&gt;"Yes",F689&lt;&gt;"No")),"Use Yes or No","OK")))))))</f>
      </c>
    </row>
    <row r="690">
      <c r="G690" s="4">
        <f>IF(A690="","",IF(COUNTIF(Venues!$A$2:$A$201,A690)=0,"Unknown venue code",IF(OR(B690="",D690="",E690="",F690=""),"Missing details",IF(LEN(B690)&gt;80,"Name too long",IF(COUNTIFS($A$2:$A$1001,A690,$B$2:$B$1001,B690)&gt;1,"Duplicate court name",IF(AND(C690&lt;&gt;"",C690&lt;&gt;"Hard",C690&lt;&gt;"Synthetic",C690&lt;&gt;"Other",C690&lt;&gt;"Not sure"),"Unknown surface",IF(OR(AND(D690&lt;&gt;"Yes",D690&lt;&gt;"No"),AND(E690&lt;&gt;"Yes",E690&lt;&gt;"No"),AND(F690&lt;&gt;"Yes",F690&lt;&gt;"No")),"Use Yes or No","OK")))))))</f>
      </c>
    </row>
    <row r="691">
      <c r="G691" s="4">
        <f>IF(A691="","",IF(COUNTIF(Venues!$A$2:$A$201,A691)=0,"Unknown venue code",IF(OR(B691="",D691="",E691="",F691=""),"Missing details",IF(LEN(B691)&gt;80,"Name too long",IF(COUNTIFS($A$2:$A$1001,A691,$B$2:$B$1001,B691)&gt;1,"Duplicate court name",IF(AND(C691&lt;&gt;"",C691&lt;&gt;"Hard",C691&lt;&gt;"Synthetic",C691&lt;&gt;"Other",C691&lt;&gt;"Not sure"),"Unknown surface",IF(OR(AND(D691&lt;&gt;"Yes",D691&lt;&gt;"No"),AND(E691&lt;&gt;"Yes",E691&lt;&gt;"No"),AND(F691&lt;&gt;"Yes",F691&lt;&gt;"No")),"Use Yes or No","OK")))))))</f>
      </c>
    </row>
    <row r="692">
      <c r="G692" s="4">
        <f>IF(A692="","",IF(COUNTIF(Venues!$A$2:$A$201,A692)=0,"Unknown venue code",IF(OR(B692="",D692="",E692="",F692=""),"Missing details",IF(LEN(B692)&gt;80,"Name too long",IF(COUNTIFS($A$2:$A$1001,A692,$B$2:$B$1001,B692)&gt;1,"Duplicate court name",IF(AND(C692&lt;&gt;"",C692&lt;&gt;"Hard",C692&lt;&gt;"Synthetic",C692&lt;&gt;"Other",C692&lt;&gt;"Not sure"),"Unknown surface",IF(OR(AND(D692&lt;&gt;"Yes",D692&lt;&gt;"No"),AND(E692&lt;&gt;"Yes",E692&lt;&gt;"No"),AND(F692&lt;&gt;"Yes",F692&lt;&gt;"No")),"Use Yes or No","OK")))))))</f>
      </c>
    </row>
    <row r="693">
      <c r="G693" s="4">
        <f>IF(A693="","",IF(COUNTIF(Venues!$A$2:$A$201,A693)=0,"Unknown venue code",IF(OR(B693="",D693="",E693="",F693=""),"Missing details",IF(LEN(B693)&gt;80,"Name too long",IF(COUNTIFS($A$2:$A$1001,A693,$B$2:$B$1001,B693)&gt;1,"Duplicate court name",IF(AND(C693&lt;&gt;"",C693&lt;&gt;"Hard",C693&lt;&gt;"Synthetic",C693&lt;&gt;"Other",C693&lt;&gt;"Not sure"),"Unknown surface",IF(OR(AND(D693&lt;&gt;"Yes",D693&lt;&gt;"No"),AND(E693&lt;&gt;"Yes",E693&lt;&gt;"No"),AND(F693&lt;&gt;"Yes",F693&lt;&gt;"No")),"Use Yes or No","OK")))))))</f>
      </c>
    </row>
    <row r="694">
      <c r="G694" s="4">
        <f>IF(A694="","",IF(COUNTIF(Venues!$A$2:$A$201,A694)=0,"Unknown venue code",IF(OR(B694="",D694="",E694="",F694=""),"Missing details",IF(LEN(B694)&gt;80,"Name too long",IF(COUNTIFS($A$2:$A$1001,A694,$B$2:$B$1001,B694)&gt;1,"Duplicate court name",IF(AND(C694&lt;&gt;"",C694&lt;&gt;"Hard",C694&lt;&gt;"Synthetic",C694&lt;&gt;"Other",C694&lt;&gt;"Not sure"),"Unknown surface",IF(OR(AND(D694&lt;&gt;"Yes",D694&lt;&gt;"No"),AND(E694&lt;&gt;"Yes",E694&lt;&gt;"No"),AND(F694&lt;&gt;"Yes",F694&lt;&gt;"No")),"Use Yes or No","OK")))))))</f>
      </c>
    </row>
    <row r="695">
      <c r="G695" s="4">
        <f>IF(A695="","",IF(COUNTIF(Venues!$A$2:$A$201,A695)=0,"Unknown venue code",IF(OR(B695="",D695="",E695="",F695=""),"Missing details",IF(LEN(B695)&gt;80,"Name too long",IF(COUNTIFS($A$2:$A$1001,A695,$B$2:$B$1001,B695)&gt;1,"Duplicate court name",IF(AND(C695&lt;&gt;"",C695&lt;&gt;"Hard",C695&lt;&gt;"Synthetic",C695&lt;&gt;"Other",C695&lt;&gt;"Not sure"),"Unknown surface",IF(OR(AND(D695&lt;&gt;"Yes",D695&lt;&gt;"No"),AND(E695&lt;&gt;"Yes",E695&lt;&gt;"No"),AND(F695&lt;&gt;"Yes",F695&lt;&gt;"No")),"Use Yes or No","OK")))))))</f>
      </c>
    </row>
    <row r="696">
      <c r="G696" s="4">
        <f>IF(A696="","",IF(COUNTIF(Venues!$A$2:$A$201,A696)=0,"Unknown venue code",IF(OR(B696="",D696="",E696="",F696=""),"Missing details",IF(LEN(B696)&gt;80,"Name too long",IF(COUNTIFS($A$2:$A$1001,A696,$B$2:$B$1001,B696)&gt;1,"Duplicate court name",IF(AND(C696&lt;&gt;"",C696&lt;&gt;"Hard",C696&lt;&gt;"Synthetic",C696&lt;&gt;"Other",C696&lt;&gt;"Not sure"),"Unknown surface",IF(OR(AND(D696&lt;&gt;"Yes",D696&lt;&gt;"No"),AND(E696&lt;&gt;"Yes",E696&lt;&gt;"No"),AND(F696&lt;&gt;"Yes",F696&lt;&gt;"No")),"Use Yes or No","OK")))))))</f>
      </c>
    </row>
    <row r="697">
      <c r="G697" s="4">
        <f>IF(A697="","",IF(COUNTIF(Venues!$A$2:$A$201,A697)=0,"Unknown venue code",IF(OR(B697="",D697="",E697="",F697=""),"Missing details",IF(LEN(B697)&gt;80,"Name too long",IF(COUNTIFS($A$2:$A$1001,A697,$B$2:$B$1001,B697)&gt;1,"Duplicate court name",IF(AND(C697&lt;&gt;"",C697&lt;&gt;"Hard",C697&lt;&gt;"Synthetic",C697&lt;&gt;"Other",C697&lt;&gt;"Not sure"),"Unknown surface",IF(OR(AND(D697&lt;&gt;"Yes",D697&lt;&gt;"No"),AND(E697&lt;&gt;"Yes",E697&lt;&gt;"No"),AND(F697&lt;&gt;"Yes",F697&lt;&gt;"No")),"Use Yes or No","OK")))))))</f>
      </c>
    </row>
    <row r="698">
      <c r="G698" s="4">
        <f>IF(A698="","",IF(COUNTIF(Venues!$A$2:$A$201,A698)=0,"Unknown venue code",IF(OR(B698="",D698="",E698="",F698=""),"Missing details",IF(LEN(B698)&gt;80,"Name too long",IF(COUNTIFS($A$2:$A$1001,A698,$B$2:$B$1001,B698)&gt;1,"Duplicate court name",IF(AND(C698&lt;&gt;"",C698&lt;&gt;"Hard",C698&lt;&gt;"Synthetic",C698&lt;&gt;"Other",C698&lt;&gt;"Not sure"),"Unknown surface",IF(OR(AND(D698&lt;&gt;"Yes",D698&lt;&gt;"No"),AND(E698&lt;&gt;"Yes",E698&lt;&gt;"No"),AND(F698&lt;&gt;"Yes",F698&lt;&gt;"No")),"Use Yes or No","OK")))))))</f>
      </c>
    </row>
    <row r="699">
      <c r="G699" s="4">
        <f>IF(A699="","",IF(COUNTIF(Venues!$A$2:$A$201,A699)=0,"Unknown venue code",IF(OR(B699="",D699="",E699="",F699=""),"Missing details",IF(LEN(B699)&gt;80,"Name too long",IF(COUNTIFS($A$2:$A$1001,A699,$B$2:$B$1001,B699)&gt;1,"Duplicate court name",IF(AND(C699&lt;&gt;"",C699&lt;&gt;"Hard",C699&lt;&gt;"Synthetic",C699&lt;&gt;"Other",C699&lt;&gt;"Not sure"),"Unknown surface",IF(OR(AND(D699&lt;&gt;"Yes",D699&lt;&gt;"No"),AND(E699&lt;&gt;"Yes",E699&lt;&gt;"No"),AND(F699&lt;&gt;"Yes",F699&lt;&gt;"No")),"Use Yes or No","OK")))))))</f>
      </c>
    </row>
    <row r="700">
      <c r="G700" s="4">
        <f>IF(A700="","",IF(COUNTIF(Venues!$A$2:$A$201,A700)=0,"Unknown venue code",IF(OR(B700="",D700="",E700="",F700=""),"Missing details",IF(LEN(B700)&gt;80,"Name too long",IF(COUNTIFS($A$2:$A$1001,A700,$B$2:$B$1001,B700)&gt;1,"Duplicate court name",IF(AND(C700&lt;&gt;"",C700&lt;&gt;"Hard",C700&lt;&gt;"Synthetic",C700&lt;&gt;"Other",C700&lt;&gt;"Not sure"),"Unknown surface",IF(OR(AND(D700&lt;&gt;"Yes",D700&lt;&gt;"No"),AND(E700&lt;&gt;"Yes",E700&lt;&gt;"No"),AND(F700&lt;&gt;"Yes",F700&lt;&gt;"No")),"Use Yes or No","OK")))))))</f>
      </c>
    </row>
    <row r="701">
      <c r="G701" s="4">
        <f>IF(A701="","",IF(COUNTIF(Venues!$A$2:$A$201,A701)=0,"Unknown venue code",IF(OR(B701="",D701="",E701="",F701=""),"Missing details",IF(LEN(B701)&gt;80,"Name too long",IF(COUNTIFS($A$2:$A$1001,A701,$B$2:$B$1001,B701)&gt;1,"Duplicate court name",IF(AND(C701&lt;&gt;"",C701&lt;&gt;"Hard",C701&lt;&gt;"Synthetic",C701&lt;&gt;"Other",C701&lt;&gt;"Not sure"),"Unknown surface",IF(OR(AND(D701&lt;&gt;"Yes",D701&lt;&gt;"No"),AND(E701&lt;&gt;"Yes",E701&lt;&gt;"No"),AND(F701&lt;&gt;"Yes",F701&lt;&gt;"No")),"Use Yes or No","OK")))))))</f>
      </c>
    </row>
    <row r="702">
      <c r="G702" s="4">
        <f>IF(A702="","",IF(COUNTIF(Venues!$A$2:$A$201,A702)=0,"Unknown venue code",IF(OR(B702="",D702="",E702="",F702=""),"Missing details",IF(LEN(B702)&gt;80,"Name too long",IF(COUNTIFS($A$2:$A$1001,A702,$B$2:$B$1001,B702)&gt;1,"Duplicate court name",IF(AND(C702&lt;&gt;"",C702&lt;&gt;"Hard",C702&lt;&gt;"Synthetic",C702&lt;&gt;"Other",C702&lt;&gt;"Not sure"),"Unknown surface",IF(OR(AND(D702&lt;&gt;"Yes",D702&lt;&gt;"No"),AND(E702&lt;&gt;"Yes",E702&lt;&gt;"No"),AND(F702&lt;&gt;"Yes",F702&lt;&gt;"No")),"Use Yes or No","OK")))))))</f>
      </c>
    </row>
    <row r="703">
      <c r="G703" s="4">
        <f>IF(A703="","",IF(COUNTIF(Venues!$A$2:$A$201,A703)=0,"Unknown venue code",IF(OR(B703="",D703="",E703="",F703=""),"Missing details",IF(LEN(B703)&gt;80,"Name too long",IF(COUNTIFS($A$2:$A$1001,A703,$B$2:$B$1001,B703)&gt;1,"Duplicate court name",IF(AND(C703&lt;&gt;"",C703&lt;&gt;"Hard",C703&lt;&gt;"Synthetic",C703&lt;&gt;"Other",C703&lt;&gt;"Not sure"),"Unknown surface",IF(OR(AND(D703&lt;&gt;"Yes",D703&lt;&gt;"No"),AND(E703&lt;&gt;"Yes",E703&lt;&gt;"No"),AND(F703&lt;&gt;"Yes",F703&lt;&gt;"No")),"Use Yes or No","OK")))))))</f>
      </c>
    </row>
    <row r="704">
      <c r="G704" s="4">
        <f>IF(A704="","",IF(COUNTIF(Venues!$A$2:$A$201,A704)=0,"Unknown venue code",IF(OR(B704="",D704="",E704="",F704=""),"Missing details",IF(LEN(B704)&gt;80,"Name too long",IF(COUNTIFS($A$2:$A$1001,A704,$B$2:$B$1001,B704)&gt;1,"Duplicate court name",IF(AND(C704&lt;&gt;"",C704&lt;&gt;"Hard",C704&lt;&gt;"Synthetic",C704&lt;&gt;"Other",C704&lt;&gt;"Not sure"),"Unknown surface",IF(OR(AND(D704&lt;&gt;"Yes",D704&lt;&gt;"No"),AND(E704&lt;&gt;"Yes",E704&lt;&gt;"No"),AND(F704&lt;&gt;"Yes",F704&lt;&gt;"No")),"Use Yes or No","OK")))))))</f>
      </c>
    </row>
    <row r="705">
      <c r="G705" s="4">
        <f>IF(A705="","",IF(COUNTIF(Venues!$A$2:$A$201,A705)=0,"Unknown venue code",IF(OR(B705="",D705="",E705="",F705=""),"Missing details",IF(LEN(B705)&gt;80,"Name too long",IF(COUNTIFS($A$2:$A$1001,A705,$B$2:$B$1001,B705)&gt;1,"Duplicate court name",IF(AND(C705&lt;&gt;"",C705&lt;&gt;"Hard",C705&lt;&gt;"Synthetic",C705&lt;&gt;"Other",C705&lt;&gt;"Not sure"),"Unknown surface",IF(OR(AND(D705&lt;&gt;"Yes",D705&lt;&gt;"No"),AND(E705&lt;&gt;"Yes",E705&lt;&gt;"No"),AND(F705&lt;&gt;"Yes",F705&lt;&gt;"No")),"Use Yes or No","OK")))))))</f>
      </c>
    </row>
    <row r="706">
      <c r="G706" s="4">
        <f>IF(A706="","",IF(COUNTIF(Venues!$A$2:$A$201,A706)=0,"Unknown venue code",IF(OR(B706="",D706="",E706="",F706=""),"Missing details",IF(LEN(B706)&gt;80,"Name too long",IF(COUNTIFS($A$2:$A$1001,A706,$B$2:$B$1001,B706)&gt;1,"Duplicate court name",IF(AND(C706&lt;&gt;"",C706&lt;&gt;"Hard",C706&lt;&gt;"Synthetic",C706&lt;&gt;"Other",C706&lt;&gt;"Not sure"),"Unknown surface",IF(OR(AND(D706&lt;&gt;"Yes",D706&lt;&gt;"No"),AND(E706&lt;&gt;"Yes",E706&lt;&gt;"No"),AND(F706&lt;&gt;"Yes",F706&lt;&gt;"No")),"Use Yes or No","OK")))))))</f>
      </c>
    </row>
    <row r="707">
      <c r="G707" s="4">
        <f>IF(A707="","",IF(COUNTIF(Venues!$A$2:$A$201,A707)=0,"Unknown venue code",IF(OR(B707="",D707="",E707="",F707=""),"Missing details",IF(LEN(B707)&gt;80,"Name too long",IF(COUNTIFS($A$2:$A$1001,A707,$B$2:$B$1001,B707)&gt;1,"Duplicate court name",IF(AND(C707&lt;&gt;"",C707&lt;&gt;"Hard",C707&lt;&gt;"Synthetic",C707&lt;&gt;"Other",C707&lt;&gt;"Not sure"),"Unknown surface",IF(OR(AND(D707&lt;&gt;"Yes",D707&lt;&gt;"No"),AND(E707&lt;&gt;"Yes",E707&lt;&gt;"No"),AND(F707&lt;&gt;"Yes",F707&lt;&gt;"No")),"Use Yes or No","OK")))))))</f>
      </c>
    </row>
    <row r="708">
      <c r="G708" s="4">
        <f>IF(A708="","",IF(COUNTIF(Venues!$A$2:$A$201,A708)=0,"Unknown venue code",IF(OR(B708="",D708="",E708="",F708=""),"Missing details",IF(LEN(B708)&gt;80,"Name too long",IF(COUNTIFS($A$2:$A$1001,A708,$B$2:$B$1001,B708)&gt;1,"Duplicate court name",IF(AND(C708&lt;&gt;"",C708&lt;&gt;"Hard",C708&lt;&gt;"Synthetic",C708&lt;&gt;"Other",C708&lt;&gt;"Not sure"),"Unknown surface",IF(OR(AND(D708&lt;&gt;"Yes",D708&lt;&gt;"No"),AND(E708&lt;&gt;"Yes",E708&lt;&gt;"No"),AND(F708&lt;&gt;"Yes",F708&lt;&gt;"No")),"Use Yes or No","OK")))))))</f>
      </c>
    </row>
    <row r="709">
      <c r="G709" s="4">
        <f>IF(A709="","",IF(COUNTIF(Venues!$A$2:$A$201,A709)=0,"Unknown venue code",IF(OR(B709="",D709="",E709="",F709=""),"Missing details",IF(LEN(B709)&gt;80,"Name too long",IF(COUNTIFS($A$2:$A$1001,A709,$B$2:$B$1001,B709)&gt;1,"Duplicate court name",IF(AND(C709&lt;&gt;"",C709&lt;&gt;"Hard",C709&lt;&gt;"Synthetic",C709&lt;&gt;"Other",C709&lt;&gt;"Not sure"),"Unknown surface",IF(OR(AND(D709&lt;&gt;"Yes",D709&lt;&gt;"No"),AND(E709&lt;&gt;"Yes",E709&lt;&gt;"No"),AND(F709&lt;&gt;"Yes",F709&lt;&gt;"No")),"Use Yes or No","OK")))))))</f>
      </c>
    </row>
    <row r="710">
      <c r="G710" s="4">
        <f>IF(A710="","",IF(COUNTIF(Venues!$A$2:$A$201,A710)=0,"Unknown venue code",IF(OR(B710="",D710="",E710="",F710=""),"Missing details",IF(LEN(B710)&gt;80,"Name too long",IF(COUNTIFS($A$2:$A$1001,A710,$B$2:$B$1001,B710)&gt;1,"Duplicate court name",IF(AND(C710&lt;&gt;"",C710&lt;&gt;"Hard",C710&lt;&gt;"Synthetic",C710&lt;&gt;"Other",C710&lt;&gt;"Not sure"),"Unknown surface",IF(OR(AND(D710&lt;&gt;"Yes",D710&lt;&gt;"No"),AND(E710&lt;&gt;"Yes",E710&lt;&gt;"No"),AND(F710&lt;&gt;"Yes",F710&lt;&gt;"No")),"Use Yes or No","OK")))))))</f>
      </c>
    </row>
    <row r="711">
      <c r="G711" s="4">
        <f>IF(A711="","",IF(COUNTIF(Venues!$A$2:$A$201,A711)=0,"Unknown venue code",IF(OR(B711="",D711="",E711="",F711=""),"Missing details",IF(LEN(B711)&gt;80,"Name too long",IF(COUNTIFS($A$2:$A$1001,A711,$B$2:$B$1001,B711)&gt;1,"Duplicate court name",IF(AND(C711&lt;&gt;"",C711&lt;&gt;"Hard",C711&lt;&gt;"Synthetic",C711&lt;&gt;"Other",C711&lt;&gt;"Not sure"),"Unknown surface",IF(OR(AND(D711&lt;&gt;"Yes",D711&lt;&gt;"No"),AND(E711&lt;&gt;"Yes",E711&lt;&gt;"No"),AND(F711&lt;&gt;"Yes",F711&lt;&gt;"No")),"Use Yes or No","OK")))))))</f>
      </c>
    </row>
    <row r="712">
      <c r="G712" s="4">
        <f>IF(A712="","",IF(COUNTIF(Venues!$A$2:$A$201,A712)=0,"Unknown venue code",IF(OR(B712="",D712="",E712="",F712=""),"Missing details",IF(LEN(B712)&gt;80,"Name too long",IF(COUNTIFS($A$2:$A$1001,A712,$B$2:$B$1001,B712)&gt;1,"Duplicate court name",IF(AND(C712&lt;&gt;"",C712&lt;&gt;"Hard",C712&lt;&gt;"Synthetic",C712&lt;&gt;"Other",C712&lt;&gt;"Not sure"),"Unknown surface",IF(OR(AND(D712&lt;&gt;"Yes",D712&lt;&gt;"No"),AND(E712&lt;&gt;"Yes",E712&lt;&gt;"No"),AND(F712&lt;&gt;"Yes",F712&lt;&gt;"No")),"Use Yes or No","OK")))))))</f>
      </c>
    </row>
    <row r="713">
      <c r="G713" s="4">
        <f>IF(A713="","",IF(COUNTIF(Venues!$A$2:$A$201,A713)=0,"Unknown venue code",IF(OR(B713="",D713="",E713="",F713=""),"Missing details",IF(LEN(B713)&gt;80,"Name too long",IF(COUNTIFS($A$2:$A$1001,A713,$B$2:$B$1001,B713)&gt;1,"Duplicate court name",IF(AND(C713&lt;&gt;"",C713&lt;&gt;"Hard",C713&lt;&gt;"Synthetic",C713&lt;&gt;"Other",C713&lt;&gt;"Not sure"),"Unknown surface",IF(OR(AND(D713&lt;&gt;"Yes",D713&lt;&gt;"No"),AND(E713&lt;&gt;"Yes",E713&lt;&gt;"No"),AND(F713&lt;&gt;"Yes",F713&lt;&gt;"No")),"Use Yes or No","OK")))))))</f>
      </c>
    </row>
    <row r="714">
      <c r="G714" s="4">
        <f>IF(A714="","",IF(COUNTIF(Venues!$A$2:$A$201,A714)=0,"Unknown venue code",IF(OR(B714="",D714="",E714="",F714=""),"Missing details",IF(LEN(B714)&gt;80,"Name too long",IF(COUNTIFS($A$2:$A$1001,A714,$B$2:$B$1001,B714)&gt;1,"Duplicate court name",IF(AND(C714&lt;&gt;"",C714&lt;&gt;"Hard",C714&lt;&gt;"Synthetic",C714&lt;&gt;"Other",C714&lt;&gt;"Not sure"),"Unknown surface",IF(OR(AND(D714&lt;&gt;"Yes",D714&lt;&gt;"No"),AND(E714&lt;&gt;"Yes",E714&lt;&gt;"No"),AND(F714&lt;&gt;"Yes",F714&lt;&gt;"No")),"Use Yes or No","OK")))))))</f>
      </c>
    </row>
    <row r="715">
      <c r="G715" s="4">
        <f>IF(A715="","",IF(COUNTIF(Venues!$A$2:$A$201,A715)=0,"Unknown venue code",IF(OR(B715="",D715="",E715="",F715=""),"Missing details",IF(LEN(B715)&gt;80,"Name too long",IF(COUNTIFS($A$2:$A$1001,A715,$B$2:$B$1001,B715)&gt;1,"Duplicate court name",IF(AND(C715&lt;&gt;"",C715&lt;&gt;"Hard",C715&lt;&gt;"Synthetic",C715&lt;&gt;"Other",C715&lt;&gt;"Not sure"),"Unknown surface",IF(OR(AND(D715&lt;&gt;"Yes",D715&lt;&gt;"No"),AND(E715&lt;&gt;"Yes",E715&lt;&gt;"No"),AND(F715&lt;&gt;"Yes",F715&lt;&gt;"No")),"Use Yes or No","OK")))))))</f>
      </c>
    </row>
    <row r="716">
      <c r="G716" s="4">
        <f>IF(A716="","",IF(COUNTIF(Venues!$A$2:$A$201,A716)=0,"Unknown venue code",IF(OR(B716="",D716="",E716="",F716=""),"Missing details",IF(LEN(B716)&gt;80,"Name too long",IF(COUNTIFS($A$2:$A$1001,A716,$B$2:$B$1001,B716)&gt;1,"Duplicate court name",IF(AND(C716&lt;&gt;"",C716&lt;&gt;"Hard",C716&lt;&gt;"Synthetic",C716&lt;&gt;"Other",C716&lt;&gt;"Not sure"),"Unknown surface",IF(OR(AND(D716&lt;&gt;"Yes",D716&lt;&gt;"No"),AND(E716&lt;&gt;"Yes",E716&lt;&gt;"No"),AND(F716&lt;&gt;"Yes",F716&lt;&gt;"No")),"Use Yes or No","OK")))))))</f>
      </c>
    </row>
    <row r="717">
      <c r="G717" s="4">
        <f>IF(A717="","",IF(COUNTIF(Venues!$A$2:$A$201,A717)=0,"Unknown venue code",IF(OR(B717="",D717="",E717="",F717=""),"Missing details",IF(LEN(B717)&gt;80,"Name too long",IF(COUNTIFS($A$2:$A$1001,A717,$B$2:$B$1001,B717)&gt;1,"Duplicate court name",IF(AND(C717&lt;&gt;"",C717&lt;&gt;"Hard",C717&lt;&gt;"Synthetic",C717&lt;&gt;"Other",C717&lt;&gt;"Not sure"),"Unknown surface",IF(OR(AND(D717&lt;&gt;"Yes",D717&lt;&gt;"No"),AND(E717&lt;&gt;"Yes",E717&lt;&gt;"No"),AND(F717&lt;&gt;"Yes",F717&lt;&gt;"No")),"Use Yes or No","OK")))))))</f>
      </c>
    </row>
    <row r="718">
      <c r="G718" s="4">
        <f>IF(A718="","",IF(COUNTIF(Venues!$A$2:$A$201,A718)=0,"Unknown venue code",IF(OR(B718="",D718="",E718="",F718=""),"Missing details",IF(LEN(B718)&gt;80,"Name too long",IF(COUNTIFS($A$2:$A$1001,A718,$B$2:$B$1001,B718)&gt;1,"Duplicate court name",IF(AND(C718&lt;&gt;"",C718&lt;&gt;"Hard",C718&lt;&gt;"Synthetic",C718&lt;&gt;"Other",C718&lt;&gt;"Not sure"),"Unknown surface",IF(OR(AND(D718&lt;&gt;"Yes",D718&lt;&gt;"No"),AND(E718&lt;&gt;"Yes",E718&lt;&gt;"No"),AND(F718&lt;&gt;"Yes",F718&lt;&gt;"No")),"Use Yes or No","OK")))))))</f>
      </c>
    </row>
    <row r="719">
      <c r="G719" s="4">
        <f>IF(A719="","",IF(COUNTIF(Venues!$A$2:$A$201,A719)=0,"Unknown venue code",IF(OR(B719="",D719="",E719="",F719=""),"Missing details",IF(LEN(B719)&gt;80,"Name too long",IF(COUNTIFS($A$2:$A$1001,A719,$B$2:$B$1001,B719)&gt;1,"Duplicate court name",IF(AND(C719&lt;&gt;"",C719&lt;&gt;"Hard",C719&lt;&gt;"Synthetic",C719&lt;&gt;"Other",C719&lt;&gt;"Not sure"),"Unknown surface",IF(OR(AND(D719&lt;&gt;"Yes",D719&lt;&gt;"No"),AND(E719&lt;&gt;"Yes",E719&lt;&gt;"No"),AND(F719&lt;&gt;"Yes",F719&lt;&gt;"No")),"Use Yes or No","OK")))))))</f>
      </c>
    </row>
    <row r="720">
      <c r="G720" s="4">
        <f>IF(A720="","",IF(COUNTIF(Venues!$A$2:$A$201,A720)=0,"Unknown venue code",IF(OR(B720="",D720="",E720="",F720=""),"Missing details",IF(LEN(B720)&gt;80,"Name too long",IF(COUNTIFS($A$2:$A$1001,A720,$B$2:$B$1001,B720)&gt;1,"Duplicate court name",IF(AND(C720&lt;&gt;"",C720&lt;&gt;"Hard",C720&lt;&gt;"Synthetic",C720&lt;&gt;"Other",C720&lt;&gt;"Not sure"),"Unknown surface",IF(OR(AND(D720&lt;&gt;"Yes",D720&lt;&gt;"No"),AND(E720&lt;&gt;"Yes",E720&lt;&gt;"No"),AND(F720&lt;&gt;"Yes",F720&lt;&gt;"No")),"Use Yes or No","OK")))))))</f>
      </c>
    </row>
    <row r="721">
      <c r="G721" s="4">
        <f>IF(A721="","",IF(COUNTIF(Venues!$A$2:$A$201,A721)=0,"Unknown venue code",IF(OR(B721="",D721="",E721="",F721=""),"Missing details",IF(LEN(B721)&gt;80,"Name too long",IF(COUNTIFS($A$2:$A$1001,A721,$B$2:$B$1001,B721)&gt;1,"Duplicate court name",IF(AND(C721&lt;&gt;"",C721&lt;&gt;"Hard",C721&lt;&gt;"Synthetic",C721&lt;&gt;"Other",C721&lt;&gt;"Not sure"),"Unknown surface",IF(OR(AND(D721&lt;&gt;"Yes",D721&lt;&gt;"No"),AND(E721&lt;&gt;"Yes",E721&lt;&gt;"No"),AND(F721&lt;&gt;"Yes",F721&lt;&gt;"No")),"Use Yes or No","OK")))))))</f>
      </c>
    </row>
    <row r="722">
      <c r="G722" s="4">
        <f>IF(A722="","",IF(COUNTIF(Venues!$A$2:$A$201,A722)=0,"Unknown venue code",IF(OR(B722="",D722="",E722="",F722=""),"Missing details",IF(LEN(B722)&gt;80,"Name too long",IF(COUNTIFS($A$2:$A$1001,A722,$B$2:$B$1001,B722)&gt;1,"Duplicate court name",IF(AND(C722&lt;&gt;"",C722&lt;&gt;"Hard",C722&lt;&gt;"Synthetic",C722&lt;&gt;"Other",C722&lt;&gt;"Not sure"),"Unknown surface",IF(OR(AND(D722&lt;&gt;"Yes",D722&lt;&gt;"No"),AND(E722&lt;&gt;"Yes",E722&lt;&gt;"No"),AND(F722&lt;&gt;"Yes",F722&lt;&gt;"No")),"Use Yes or No","OK")))))))</f>
      </c>
    </row>
    <row r="723">
      <c r="G723" s="4">
        <f>IF(A723="","",IF(COUNTIF(Venues!$A$2:$A$201,A723)=0,"Unknown venue code",IF(OR(B723="",D723="",E723="",F723=""),"Missing details",IF(LEN(B723)&gt;80,"Name too long",IF(COUNTIFS($A$2:$A$1001,A723,$B$2:$B$1001,B723)&gt;1,"Duplicate court name",IF(AND(C723&lt;&gt;"",C723&lt;&gt;"Hard",C723&lt;&gt;"Synthetic",C723&lt;&gt;"Other",C723&lt;&gt;"Not sure"),"Unknown surface",IF(OR(AND(D723&lt;&gt;"Yes",D723&lt;&gt;"No"),AND(E723&lt;&gt;"Yes",E723&lt;&gt;"No"),AND(F723&lt;&gt;"Yes",F723&lt;&gt;"No")),"Use Yes or No","OK")))))))</f>
      </c>
    </row>
    <row r="724">
      <c r="G724" s="4">
        <f>IF(A724="","",IF(COUNTIF(Venues!$A$2:$A$201,A724)=0,"Unknown venue code",IF(OR(B724="",D724="",E724="",F724=""),"Missing details",IF(LEN(B724)&gt;80,"Name too long",IF(COUNTIFS($A$2:$A$1001,A724,$B$2:$B$1001,B724)&gt;1,"Duplicate court name",IF(AND(C724&lt;&gt;"",C724&lt;&gt;"Hard",C724&lt;&gt;"Synthetic",C724&lt;&gt;"Other",C724&lt;&gt;"Not sure"),"Unknown surface",IF(OR(AND(D724&lt;&gt;"Yes",D724&lt;&gt;"No"),AND(E724&lt;&gt;"Yes",E724&lt;&gt;"No"),AND(F724&lt;&gt;"Yes",F724&lt;&gt;"No")),"Use Yes or No","OK")))))))</f>
      </c>
    </row>
    <row r="725">
      <c r="G725" s="4">
        <f>IF(A725="","",IF(COUNTIF(Venues!$A$2:$A$201,A725)=0,"Unknown venue code",IF(OR(B725="",D725="",E725="",F725=""),"Missing details",IF(LEN(B725)&gt;80,"Name too long",IF(COUNTIFS($A$2:$A$1001,A725,$B$2:$B$1001,B725)&gt;1,"Duplicate court name",IF(AND(C725&lt;&gt;"",C725&lt;&gt;"Hard",C725&lt;&gt;"Synthetic",C725&lt;&gt;"Other",C725&lt;&gt;"Not sure"),"Unknown surface",IF(OR(AND(D725&lt;&gt;"Yes",D725&lt;&gt;"No"),AND(E725&lt;&gt;"Yes",E725&lt;&gt;"No"),AND(F725&lt;&gt;"Yes",F725&lt;&gt;"No")),"Use Yes or No","OK")))))))</f>
      </c>
    </row>
    <row r="726">
      <c r="G726" s="4">
        <f>IF(A726="","",IF(COUNTIF(Venues!$A$2:$A$201,A726)=0,"Unknown venue code",IF(OR(B726="",D726="",E726="",F726=""),"Missing details",IF(LEN(B726)&gt;80,"Name too long",IF(COUNTIFS($A$2:$A$1001,A726,$B$2:$B$1001,B726)&gt;1,"Duplicate court name",IF(AND(C726&lt;&gt;"",C726&lt;&gt;"Hard",C726&lt;&gt;"Synthetic",C726&lt;&gt;"Other",C726&lt;&gt;"Not sure"),"Unknown surface",IF(OR(AND(D726&lt;&gt;"Yes",D726&lt;&gt;"No"),AND(E726&lt;&gt;"Yes",E726&lt;&gt;"No"),AND(F726&lt;&gt;"Yes",F726&lt;&gt;"No")),"Use Yes or No","OK")))))))</f>
      </c>
    </row>
    <row r="727">
      <c r="G727" s="4">
        <f>IF(A727="","",IF(COUNTIF(Venues!$A$2:$A$201,A727)=0,"Unknown venue code",IF(OR(B727="",D727="",E727="",F727=""),"Missing details",IF(LEN(B727)&gt;80,"Name too long",IF(COUNTIFS($A$2:$A$1001,A727,$B$2:$B$1001,B727)&gt;1,"Duplicate court name",IF(AND(C727&lt;&gt;"",C727&lt;&gt;"Hard",C727&lt;&gt;"Synthetic",C727&lt;&gt;"Other",C727&lt;&gt;"Not sure"),"Unknown surface",IF(OR(AND(D727&lt;&gt;"Yes",D727&lt;&gt;"No"),AND(E727&lt;&gt;"Yes",E727&lt;&gt;"No"),AND(F727&lt;&gt;"Yes",F727&lt;&gt;"No")),"Use Yes or No","OK")))))))</f>
      </c>
    </row>
    <row r="728">
      <c r="G728" s="4">
        <f>IF(A728="","",IF(COUNTIF(Venues!$A$2:$A$201,A728)=0,"Unknown venue code",IF(OR(B728="",D728="",E728="",F728=""),"Missing details",IF(LEN(B728)&gt;80,"Name too long",IF(COUNTIFS($A$2:$A$1001,A728,$B$2:$B$1001,B728)&gt;1,"Duplicate court name",IF(AND(C728&lt;&gt;"",C728&lt;&gt;"Hard",C728&lt;&gt;"Synthetic",C728&lt;&gt;"Other",C728&lt;&gt;"Not sure"),"Unknown surface",IF(OR(AND(D728&lt;&gt;"Yes",D728&lt;&gt;"No"),AND(E728&lt;&gt;"Yes",E728&lt;&gt;"No"),AND(F728&lt;&gt;"Yes",F728&lt;&gt;"No")),"Use Yes or No","OK")))))))</f>
      </c>
    </row>
    <row r="729">
      <c r="G729" s="4">
        <f>IF(A729="","",IF(COUNTIF(Venues!$A$2:$A$201,A729)=0,"Unknown venue code",IF(OR(B729="",D729="",E729="",F729=""),"Missing details",IF(LEN(B729)&gt;80,"Name too long",IF(COUNTIFS($A$2:$A$1001,A729,$B$2:$B$1001,B729)&gt;1,"Duplicate court name",IF(AND(C729&lt;&gt;"",C729&lt;&gt;"Hard",C729&lt;&gt;"Synthetic",C729&lt;&gt;"Other",C729&lt;&gt;"Not sure"),"Unknown surface",IF(OR(AND(D729&lt;&gt;"Yes",D729&lt;&gt;"No"),AND(E729&lt;&gt;"Yes",E729&lt;&gt;"No"),AND(F729&lt;&gt;"Yes",F729&lt;&gt;"No")),"Use Yes or No","OK")))))))</f>
      </c>
    </row>
    <row r="730">
      <c r="G730" s="4">
        <f>IF(A730="","",IF(COUNTIF(Venues!$A$2:$A$201,A730)=0,"Unknown venue code",IF(OR(B730="",D730="",E730="",F730=""),"Missing details",IF(LEN(B730)&gt;80,"Name too long",IF(COUNTIFS($A$2:$A$1001,A730,$B$2:$B$1001,B730)&gt;1,"Duplicate court name",IF(AND(C730&lt;&gt;"",C730&lt;&gt;"Hard",C730&lt;&gt;"Synthetic",C730&lt;&gt;"Other",C730&lt;&gt;"Not sure"),"Unknown surface",IF(OR(AND(D730&lt;&gt;"Yes",D730&lt;&gt;"No"),AND(E730&lt;&gt;"Yes",E730&lt;&gt;"No"),AND(F730&lt;&gt;"Yes",F730&lt;&gt;"No")),"Use Yes or No","OK")))))))</f>
      </c>
    </row>
    <row r="731">
      <c r="G731" s="4">
        <f>IF(A731="","",IF(COUNTIF(Venues!$A$2:$A$201,A731)=0,"Unknown venue code",IF(OR(B731="",D731="",E731="",F731=""),"Missing details",IF(LEN(B731)&gt;80,"Name too long",IF(COUNTIFS($A$2:$A$1001,A731,$B$2:$B$1001,B731)&gt;1,"Duplicate court name",IF(AND(C731&lt;&gt;"",C731&lt;&gt;"Hard",C731&lt;&gt;"Synthetic",C731&lt;&gt;"Other",C731&lt;&gt;"Not sure"),"Unknown surface",IF(OR(AND(D731&lt;&gt;"Yes",D731&lt;&gt;"No"),AND(E731&lt;&gt;"Yes",E731&lt;&gt;"No"),AND(F731&lt;&gt;"Yes",F731&lt;&gt;"No")),"Use Yes or No","OK")))))))</f>
      </c>
    </row>
    <row r="732">
      <c r="G732" s="4">
        <f>IF(A732="","",IF(COUNTIF(Venues!$A$2:$A$201,A732)=0,"Unknown venue code",IF(OR(B732="",D732="",E732="",F732=""),"Missing details",IF(LEN(B732)&gt;80,"Name too long",IF(COUNTIFS($A$2:$A$1001,A732,$B$2:$B$1001,B732)&gt;1,"Duplicate court name",IF(AND(C732&lt;&gt;"",C732&lt;&gt;"Hard",C732&lt;&gt;"Synthetic",C732&lt;&gt;"Other",C732&lt;&gt;"Not sure"),"Unknown surface",IF(OR(AND(D732&lt;&gt;"Yes",D732&lt;&gt;"No"),AND(E732&lt;&gt;"Yes",E732&lt;&gt;"No"),AND(F732&lt;&gt;"Yes",F732&lt;&gt;"No")),"Use Yes or No","OK")))))))</f>
      </c>
    </row>
    <row r="733">
      <c r="G733" s="4">
        <f>IF(A733="","",IF(COUNTIF(Venues!$A$2:$A$201,A733)=0,"Unknown venue code",IF(OR(B733="",D733="",E733="",F733=""),"Missing details",IF(LEN(B733)&gt;80,"Name too long",IF(COUNTIFS($A$2:$A$1001,A733,$B$2:$B$1001,B733)&gt;1,"Duplicate court name",IF(AND(C733&lt;&gt;"",C733&lt;&gt;"Hard",C733&lt;&gt;"Synthetic",C733&lt;&gt;"Other",C733&lt;&gt;"Not sure"),"Unknown surface",IF(OR(AND(D733&lt;&gt;"Yes",D733&lt;&gt;"No"),AND(E733&lt;&gt;"Yes",E733&lt;&gt;"No"),AND(F733&lt;&gt;"Yes",F733&lt;&gt;"No")),"Use Yes or No","OK")))))))</f>
      </c>
    </row>
    <row r="734">
      <c r="G734" s="4">
        <f>IF(A734="","",IF(COUNTIF(Venues!$A$2:$A$201,A734)=0,"Unknown venue code",IF(OR(B734="",D734="",E734="",F734=""),"Missing details",IF(LEN(B734)&gt;80,"Name too long",IF(COUNTIFS($A$2:$A$1001,A734,$B$2:$B$1001,B734)&gt;1,"Duplicate court name",IF(AND(C734&lt;&gt;"",C734&lt;&gt;"Hard",C734&lt;&gt;"Synthetic",C734&lt;&gt;"Other",C734&lt;&gt;"Not sure"),"Unknown surface",IF(OR(AND(D734&lt;&gt;"Yes",D734&lt;&gt;"No"),AND(E734&lt;&gt;"Yes",E734&lt;&gt;"No"),AND(F734&lt;&gt;"Yes",F734&lt;&gt;"No")),"Use Yes or No","OK")))))))</f>
      </c>
    </row>
    <row r="735">
      <c r="G735" s="4">
        <f>IF(A735="","",IF(COUNTIF(Venues!$A$2:$A$201,A735)=0,"Unknown venue code",IF(OR(B735="",D735="",E735="",F735=""),"Missing details",IF(LEN(B735)&gt;80,"Name too long",IF(COUNTIFS($A$2:$A$1001,A735,$B$2:$B$1001,B735)&gt;1,"Duplicate court name",IF(AND(C735&lt;&gt;"",C735&lt;&gt;"Hard",C735&lt;&gt;"Synthetic",C735&lt;&gt;"Other",C735&lt;&gt;"Not sure"),"Unknown surface",IF(OR(AND(D735&lt;&gt;"Yes",D735&lt;&gt;"No"),AND(E735&lt;&gt;"Yes",E735&lt;&gt;"No"),AND(F735&lt;&gt;"Yes",F735&lt;&gt;"No")),"Use Yes or No","OK")))))))</f>
      </c>
    </row>
    <row r="736">
      <c r="G736" s="4">
        <f>IF(A736="","",IF(COUNTIF(Venues!$A$2:$A$201,A736)=0,"Unknown venue code",IF(OR(B736="",D736="",E736="",F736=""),"Missing details",IF(LEN(B736)&gt;80,"Name too long",IF(COUNTIFS($A$2:$A$1001,A736,$B$2:$B$1001,B736)&gt;1,"Duplicate court name",IF(AND(C736&lt;&gt;"",C736&lt;&gt;"Hard",C736&lt;&gt;"Synthetic",C736&lt;&gt;"Other",C736&lt;&gt;"Not sure"),"Unknown surface",IF(OR(AND(D736&lt;&gt;"Yes",D736&lt;&gt;"No"),AND(E736&lt;&gt;"Yes",E736&lt;&gt;"No"),AND(F736&lt;&gt;"Yes",F736&lt;&gt;"No")),"Use Yes or No","OK")))))))</f>
      </c>
    </row>
    <row r="737">
      <c r="G737" s="4">
        <f>IF(A737="","",IF(COUNTIF(Venues!$A$2:$A$201,A737)=0,"Unknown venue code",IF(OR(B737="",D737="",E737="",F737=""),"Missing details",IF(LEN(B737)&gt;80,"Name too long",IF(COUNTIFS($A$2:$A$1001,A737,$B$2:$B$1001,B737)&gt;1,"Duplicate court name",IF(AND(C737&lt;&gt;"",C737&lt;&gt;"Hard",C737&lt;&gt;"Synthetic",C737&lt;&gt;"Other",C737&lt;&gt;"Not sure"),"Unknown surface",IF(OR(AND(D737&lt;&gt;"Yes",D737&lt;&gt;"No"),AND(E737&lt;&gt;"Yes",E737&lt;&gt;"No"),AND(F737&lt;&gt;"Yes",F737&lt;&gt;"No")),"Use Yes or No","OK")))))))</f>
      </c>
    </row>
    <row r="738">
      <c r="G738" s="4">
        <f>IF(A738="","",IF(COUNTIF(Venues!$A$2:$A$201,A738)=0,"Unknown venue code",IF(OR(B738="",D738="",E738="",F738=""),"Missing details",IF(LEN(B738)&gt;80,"Name too long",IF(COUNTIFS($A$2:$A$1001,A738,$B$2:$B$1001,B738)&gt;1,"Duplicate court name",IF(AND(C738&lt;&gt;"",C738&lt;&gt;"Hard",C738&lt;&gt;"Synthetic",C738&lt;&gt;"Other",C738&lt;&gt;"Not sure"),"Unknown surface",IF(OR(AND(D738&lt;&gt;"Yes",D738&lt;&gt;"No"),AND(E738&lt;&gt;"Yes",E738&lt;&gt;"No"),AND(F738&lt;&gt;"Yes",F738&lt;&gt;"No")),"Use Yes or No","OK")))))))</f>
      </c>
    </row>
    <row r="739">
      <c r="G739" s="4">
        <f>IF(A739="","",IF(COUNTIF(Venues!$A$2:$A$201,A739)=0,"Unknown venue code",IF(OR(B739="",D739="",E739="",F739=""),"Missing details",IF(LEN(B739)&gt;80,"Name too long",IF(COUNTIFS($A$2:$A$1001,A739,$B$2:$B$1001,B739)&gt;1,"Duplicate court name",IF(AND(C739&lt;&gt;"",C739&lt;&gt;"Hard",C739&lt;&gt;"Synthetic",C739&lt;&gt;"Other",C739&lt;&gt;"Not sure"),"Unknown surface",IF(OR(AND(D739&lt;&gt;"Yes",D739&lt;&gt;"No"),AND(E739&lt;&gt;"Yes",E739&lt;&gt;"No"),AND(F739&lt;&gt;"Yes",F739&lt;&gt;"No")),"Use Yes or No","OK")))))))</f>
      </c>
    </row>
    <row r="740">
      <c r="G740" s="4">
        <f>IF(A740="","",IF(COUNTIF(Venues!$A$2:$A$201,A740)=0,"Unknown venue code",IF(OR(B740="",D740="",E740="",F740=""),"Missing details",IF(LEN(B740)&gt;80,"Name too long",IF(COUNTIFS($A$2:$A$1001,A740,$B$2:$B$1001,B740)&gt;1,"Duplicate court name",IF(AND(C740&lt;&gt;"",C740&lt;&gt;"Hard",C740&lt;&gt;"Synthetic",C740&lt;&gt;"Other",C740&lt;&gt;"Not sure"),"Unknown surface",IF(OR(AND(D740&lt;&gt;"Yes",D740&lt;&gt;"No"),AND(E740&lt;&gt;"Yes",E740&lt;&gt;"No"),AND(F740&lt;&gt;"Yes",F740&lt;&gt;"No")),"Use Yes or No","OK")))))))</f>
      </c>
    </row>
    <row r="741">
      <c r="G741" s="4">
        <f>IF(A741="","",IF(COUNTIF(Venues!$A$2:$A$201,A741)=0,"Unknown venue code",IF(OR(B741="",D741="",E741="",F741=""),"Missing details",IF(LEN(B741)&gt;80,"Name too long",IF(COUNTIFS($A$2:$A$1001,A741,$B$2:$B$1001,B741)&gt;1,"Duplicate court name",IF(AND(C741&lt;&gt;"",C741&lt;&gt;"Hard",C741&lt;&gt;"Synthetic",C741&lt;&gt;"Other",C741&lt;&gt;"Not sure"),"Unknown surface",IF(OR(AND(D741&lt;&gt;"Yes",D741&lt;&gt;"No"),AND(E741&lt;&gt;"Yes",E741&lt;&gt;"No"),AND(F741&lt;&gt;"Yes",F741&lt;&gt;"No")),"Use Yes or No","OK")))))))</f>
      </c>
    </row>
    <row r="742">
      <c r="G742" s="4">
        <f>IF(A742="","",IF(COUNTIF(Venues!$A$2:$A$201,A742)=0,"Unknown venue code",IF(OR(B742="",D742="",E742="",F742=""),"Missing details",IF(LEN(B742)&gt;80,"Name too long",IF(COUNTIFS($A$2:$A$1001,A742,$B$2:$B$1001,B742)&gt;1,"Duplicate court name",IF(AND(C742&lt;&gt;"",C742&lt;&gt;"Hard",C742&lt;&gt;"Synthetic",C742&lt;&gt;"Other",C742&lt;&gt;"Not sure"),"Unknown surface",IF(OR(AND(D742&lt;&gt;"Yes",D742&lt;&gt;"No"),AND(E742&lt;&gt;"Yes",E742&lt;&gt;"No"),AND(F742&lt;&gt;"Yes",F742&lt;&gt;"No")),"Use Yes or No","OK")))))))</f>
      </c>
    </row>
    <row r="743">
      <c r="G743" s="4">
        <f>IF(A743="","",IF(COUNTIF(Venues!$A$2:$A$201,A743)=0,"Unknown venue code",IF(OR(B743="",D743="",E743="",F743=""),"Missing details",IF(LEN(B743)&gt;80,"Name too long",IF(COUNTIFS($A$2:$A$1001,A743,$B$2:$B$1001,B743)&gt;1,"Duplicate court name",IF(AND(C743&lt;&gt;"",C743&lt;&gt;"Hard",C743&lt;&gt;"Synthetic",C743&lt;&gt;"Other",C743&lt;&gt;"Not sure"),"Unknown surface",IF(OR(AND(D743&lt;&gt;"Yes",D743&lt;&gt;"No"),AND(E743&lt;&gt;"Yes",E743&lt;&gt;"No"),AND(F743&lt;&gt;"Yes",F743&lt;&gt;"No")),"Use Yes or No","OK")))))))</f>
      </c>
    </row>
    <row r="744">
      <c r="G744" s="4">
        <f>IF(A744="","",IF(COUNTIF(Venues!$A$2:$A$201,A744)=0,"Unknown venue code",IF(OR(B744="",D744="",E744="",F744=""),"Missing details",IF(LEN(B744)&gt;80,"Name too long",IF(COUNTIFS($A$2:$A$1001,A744,$B$2:$B$1001,B744)&gt;1,"Duplicate court name",IF(AND(C744&lt;&gt;"",C744&lt;&gt;"Hard",C744&lt;&gt;"Synthetic",C744&lt;&gt;"Other",C744&lt;&gt;"Not sure"),"Unknown surface",IF(OR(AND(D744&lt;&gt;"Yes",D744&lt;&gt;"No"),AND(E744&lt;&gt;"Yes",E744&lt;&gt;"No"),AND(F744&lt;&gt;"Yes",F744&lt;&gt;"No")),"Use Yes or No","OK")))))))</f>
      </c>
    </row>
    <row r="745">
      <c r="G745" s="4">
        <f>IF(A745="","",IF(COUNTIF(Venues!$A$2:$A$201,A745)=0,"Unknown venue code",IF(OR(B745="",D745="",E745="",F745=""),"Missing details",IF(LEN(B745)&gt;80,"Name too long",IF(COUNTIFS($A$2:$A$1001,A745,$B$2:$B$1001,B745)&gt;1,"Duplicate court name",IF(AND(C745&lt;&gt;"",C745&lt;&gt;"Hard",C745&lt;&gt;"Synthetic",C745&lt;&gt;"Other",C745&lt;&gt;"Not sure"),"Unknown surface",IF(OR(AND(D745&lt;&gt;"Yes",D745&lt;&gt;"No"),AND(E745&lt;&gt;"Yes",E745&lt;&gt;"No"),AND(F745&lt;&gt;"Yes",F745&lt;&gt;"No")),"Use Yes or No","OK")))))))</f>
      </c>
    </row>
    <row r="746">
      <c r="G746" s="4">
        <f>IF(A746="","",IF(COUNTIF(Venues!$A$2:$A$201,A746)=0,"Unknown venue code",IF(OR(B746="",D746="",E746="",F746=""),"Missing details",IF(LEN(B746)&gt;80,"Name too long",IF(COUNTIFS($A$2:$A$1001,A746,$B$2:$B$1001,B746)&gt;1,"Duplicate court name",IF(AND(C746&lt;&gt;"",C746&lt;&gt;"Hard",C746&lt;&gt;"Synthetic",C746&lt;&gt;"Other",C746&lt;&gt;"Not sure"),"Unknown surface",IF(OR(AND(D746&lt;&gt;"Yes",D746&lt;&gt;"No"),AND(E746&lt;&gt;"Yes",E746&lt;&gt;"No"),AND(F746&lt;&gt;"Yes",F746&lt;&gt;"No")),"Use Yes or No","OK")))))))</f>
      </c>
    </row>
    <row r="747">
      <c r="G747" s="4">
        <f>IF(A747="","",IF(COUNTIF(Venues!$A$2:$A$201,A747)=0,"Unknown venue code",IF(OR(B747="",D747="",E747="",F747=""),"Missing details",IF(LEN(B747)&gt;80,"Name too long",IF(COUNTIFS($A$2:$A$1001,A747,$B$2:$B$1001,B747)&gt;1,"Duplicate court name",IF(AND(C747&lt;&gt;"",C747&lt;&gt;"Hard",C747&lt;&gt;"Synthetic",C747&lt;&gt;"Other",C747&lt;&gt;"Not sure"),"Unknown surface",IF(OR(AND(D747&lt;&gt;"Yes",D747&lt;&gt;"No"),AND(E747&lt;&gt;"Yes",E747&lt;&gt;"No"),AND(F747&lt;&gt;"Yes",F747&lt;&gt;"No")),"Use Yes or No","OK")))))))</f>
      </c>
    </row>
    <row r="748">
      <c r="G748" s="4">
        <f>IF(A748="","",IF(COUNTIF(Venues!$A$2:$A$201,A748)=0,"Unknown venue code",IF(OR(B748="",D748="",E748="",F748=""),"Missing details",IF(LEN(B748)&gt;80,"Name too long",IF(COUNTIFS($A$2:$A$1001,A748,$B$2:$B$1001,B748)&gt;1,"Duplicate court name",IF(AND(C748&lt;&gt;"",C748&lt;&gt;"Hard",C748&lt;&gt;"Synthetic",C748&lt;&gt;"Other",C748&lt;&gt;"Not sure"),"Unknown surface",IF(OR(AND(D748&lt;&gt;"Yes",D748&lt;&gt;"No"),AND(E748&lt;&gt;"Yes",E748&lt;&gt;"No"),AND(F748&lt;&gt;"Yes",F748&lt;&gt;"No")),"Use Yes or No","OK")))))))</f>
      </c>
    </row>
    <row r="749">
      <c r="G749" s="4">
        <f>IF(A749="","",IF(COUNTIF(Venues!$A$2:$A$201,A749)=0,"Unknown venue code",IF(OR(B749="",D749="",E749="",F749=""),"Missing details",IF(LEN(B749)&gt;80,"Name too long",IF(COUNTIFS($A$2:$A$1001,A749,$B$2:$B$1001,B749)&gt;1,"Duplicate court name",IF(AND(C749&lt;&gt;"",C749&lt;&gt;"Hard",C749&lt;&gt;"Synthetic",C749&lt;&gt;"Other",C749&lt;&gt;"Not sure"),"Unknown surface",IF(OR(AND(D749&lt;&gt;"Yes",D749&lt;&gt;"No"),AND(E749&lt;&gt;"Yes",E749&lt;&gt;"No"),AND(F749&lt;&gt;"Yes",F749&lt;&gt;"No")),"Use Yes or No","OK")))))))</f>
      </c>
    </row>
    <row r="750">
      <c r="G750" s="4">
        <f>IF(A750="","",IF(COUNTIF(Venues!$A$2:$A$201,A750)=0,"Unknown venue code",IF(OR(B750="",D750="",E750="",F750=""),"Missing details",IF(LEN(B750)&gt;80,"Name too long",IF(COUNTIFS($A$2:$A$1001,A750,$B$2:$B$1001,B750)&gt;1,"Duplicate court name",IF(AND(C750&lt;&gt;"",C750&lt;&gt;"Hard",C750&lt;&gt;"Synthetic",C750&lt;&gt;"Other",C750&lt;&gt;"Not sure"),"Unknown surface",IF(OR(AND(D750&lt;&gt;"Yes",D750&lt;&gt;"No"),AND(E750&lt;&gt;"Yes",E750&lt;&gt;"No"),AND(F750&lt;&gt;"Yes",F750&lt;&gt;"No")),"Use Yes or No","OK")))))))</f>
      </c>
    </row>
    <row r="751">
      <c r="G751" s="4">
        <f>IF(A751="","",IF(COUNTIF(Venues!$A$2:$A$201,A751)=0,"Unknown venue code",IF(OR(B751="",D751="",E751="",F751=""),"Missing details",IF(LEN(B751)&gt;80,"Name too long",IF(COUNTIFS($A$2:$A$1001,A751,$B$2:$B$1001,B751)&gt;1,"Duplicate court name",IF(AND(C751&lt;&gt;"",C751&lt;&gt;"Hard",C751&lt;&gt;"Synthetic",C751&lt;&gt;"Other",C751&lt;&gt;"Not sure"),"Unknown surface",IF(OR(AND(D751&lt;&gt;"Yes",D751&lt;&gt;"No"),AND(E751&lt;&gt;"Yes",E751&lt;&gt;"No"),AND(F751&lt;&gt;"Yes",F751&lt;&gt;"No")),"Use Yes or No","OK")))))))</f>
      </c>
    </row>
    <row r="752">
      <c r="G752" s="4">
        <f>IF(A752="","",IF(COUNTIF(Venues!$A$2:$A$201,A752)=0,"Unknown venue code",IF(OR(B752="",D752="",E752="",F752=""),"Missing details",IF(LEN(B752)&gt;80,"Name too long",IF(COUNTIFS($A$2:$A$1001,A752,$B$2:$B$1001,B752)&gt;1,"Duplicate court name",IF(AND(C752&lt;&gt;"",C752&lt;&gt;"Hard",C752&lt;&gt;"Synthetic",C752&lt;&gt;"Other",C752&lt;&gt;"Not sure"),"Unknown surface",IF(OR(AND(D752&lt;&gt;"Yes",D752&lt;&gt;"No"),AND(E752&lt;&gt;"Yes",E752&lt;&gt;"No"),AND(F752&lt;&gt;"Yes",F752&lt;&gt;"No")),"Use Yes or No","OK")))))))</f>
      </c>
    </row>
    <row r="753">
      <c r="G753" s="4">
        <f>IF(A753="","",IF(COUNTIF(Venues!$A$2:$A$201,A753)=0,"Unknown venue code",IF(OR(B753="",D753="",E753="",F753=""),"Missing details",IF(LEN(B753)&gt;80,"Name too long",IF(COUNTIFS($A$2:$A$1001,A753,$B$2:$B$1001,B753)&gt;1,"Duplicate court name",IF(AND(C753&lt;&gt;"",C753&lt;&gt;"Hard",C753&lt;&gt;"Synthetic",C753&lt;&gt;"Other",C753&lt;&gt;"Not sure"),"Unknown surface",IF(OR(AND(D753&lt;&gt;"Yes",D753&lt;&gt;"No"),AND(E753&lt;&gt;"Yes",E753&lt;&gt;"No"),AND(F753&lt;&gt;"Yes",F753&lt;&gt;"No")),"Use Yes or No","OK")))))))</f>
      </c>
    </row>
    <row r="754">
      <c r="G754" s="4">
        <f>IF(A754="","",IF(COUNTIF(Venues!$A$2:$A$201,A754)=0,"Unknown venue code",IF(OR(B754="",D754="",E754="",F754=""),"Missing details",IF(LEN(B754)&gt;80,"Name too long",IF(COUNTIFS($A$2:$A$1001,A754,$B$2:$B$1001,B754)&gt;1,"Duplicate court name",IF(AND(C754&lt;&gt;"",C754&lt;&gt;"Hard",C754&lt;&gt;"Synthetic",C754&lt;&gt;"Other",C754&lt;&gt;"Not sure"),"Unknown surface",IF(OR(AND(D754&lt;&gt;"Yes",D754&lt;&gt;"No"),AND(E754&lt;&gt;"Yes",E754&lt;&gt;"No"),AND(F754&lt;&gt;"Yes",F754&lt;&gt;"No")),"Use Yes or No","OK")))))))</f>
      </c>
    </row>
    <row r="755">
      <c r="G755" s="4">
        <f>IF(A755="","",IF(COUNTIF(Venues!$A$2:$A$201,A755)=0,"Unknown venue code",IF(OR(B755="",D755="",E755="",F755=""),"Missing details",IF(LEN(B755)&gt;80,"Name too long",IF(COUNTIFS($A$2:$A$1001,A755,$B$2:$B$1001,B755)&gt;1,"Duplicate court name",IF(AND(C755&lt;&gt;"",C755&lt;&gt;"Hard",C755&lt;&gt;"Synthetic",C755&lt;&gt;"Other",C755&lt;&gt;"Not sure"),"Unknown surface",IF(OR(AND(D755&lt;&gt;"Yes",D755&lt;&gt;"No"),AND(E755&lt;&gt;"Yes",E755&lt;&gt;"No"),AND(F755&lt;&gt;"Yes",F755&lt;&gt;"No")),"Use Yes or No","OK")))))))</f>
      </c>
    </row>
    <row r="756">
      <c r="G756" s="4">
        <f>IF(A756="","",IF(COUNTIF(Venues!$A$2:$A$201,A756)=0,"Unknown venue code",IF(OR(B756="",D756="",E756="",F756=""),"Missing details",IF(LEN(B756)&gt;80,"Name too long",IF(COUNTIFS($A$2:$A$1001,A756,$B$2:$B$1001,B756)&gt;1,"Duplicate court name",IF(AND(C756&lt;&gt;"",C756&lt;&gt;"Hard",C756&lt;&gt;"Synthetic",C756&lt;&gt;"Other",C756&lt;&gt;"Not sure"),"Unknown surface",IF(OR(AND(D756&lt;&gt;"Yes",D756&lt;&gt;"No"),AND(E756&lt;&gt;"Yes",E756&lt;&gt;"No"),AND(F756&lt;&gt;"Yes",F756&lt;&gt;"No")),"Use Yes or No","OK")))))))</f>
      </c>
    </row>
    <row r="757">
      <c r="G757" s="4">
        <f>IF(A757="","",IF(COUNTIF(Venues!$A$2:$A$201,A757)=0,"Unknown venue code",IF(OR(B757="",D757="",E757="",F757=""),"Missing details",IF(LEN(B757)&gt;80,"Name too long",IF(COUNTIFS($A$2:$A$1001,A757,$B$2:$B$1001,B757)&gt;1,"Duplicate court name",IF(AND(C757&lt;&gt;"",C757&lt;&gt;"Hard",C757&lt;&gt;"Synthetic",C757&lt;&gt;"Other",C757&lt;&gt;"Not sure"),"Unknown surface",IF(OR(AND(D757&lt;&gt;"Yes",D757&lt;&gt;"No"),AND(E757&lt;&gt;"Yes",E757&lt;&gt;"No"),AND(F757&lt;&gt;"Yes",F757&lt;&gt;"No")),"Use Yes or No","OK")))))))</f>
      </c>
    </row>
    <row r="758">
      <c r="G758" s="4">
        <f>IF(A758="","",IF(COUNTIF(Venues!$A$2:$A$201,A758)=0,"Unknown venue code",IF(OR(B758="",D758="",E758="",F758=""),"Missing details",IF(LEN(B758)&gt;80,"Name too long",IF(COUNTIFS($A$2:$A$1001,A758,$B$2:$B$1001,B758)&gt;1,"Duplicate court name",IF(AND(C758&lt;&gt;"",C758&lt;&gt;"Hard",C758&lt;&gt;"Synthetic",C758&lt;&gt;"Other",C758&lt;&gt;"Not sure"),"Unknown surface",IF(OR(AND(D758&lt;&gt;"Yes",D758&lt;&gt;"No"),AND(E758&lt;&gt;"Yes",E758&lt;&gt;"No"),AND(F758&lt;&gt;"Yes",F758&lt;&gt;"No")),"Use Yes or No","OK")))))))</f>
      </c>
    </row>
    <row r="759">
      <c r="G759" s="4">
        <f>IF(A759="","",IF(COUNTIF(Venues!$A$2:$A$201,A759)=0,"Unknown venue code",IF(OR(B759="",D759="",E759="",F759=""),"Missing details",IF(LEN(B759)&gt;80,"Name too long",IF(COUNTIFS($A$2:$A$1001,A759,$B$2:$B$1001,B759)&gt;1,"Duplicate court name",IF(AND(C759&lt;&gt;"",C759&lt;&gt;"Hard",C759&lt;&gt;"Synthetic",C759&lt;&gt;"Other",C759&lt;&gt;"Not sure"),"Unknown surface",IF(OR(AND(D759&lt;&gt;"Yes",D759&lt;&gt;"No"),AND(E759&lt;&gt;"Yes",E759&lt;&gt;"No"),AND(F759&lt;&gt;"Yes",F759&lt;&gt;"No")),"Use Yes or No","OK")))))))</f>
      </c>
    </row>
    <row r="760">
      <c r="G760" s="4">
        <f>IF(A760="","",IF(COUNTIF(Venues!$A$2:$A$201,A760)=0,"Unknown venue code",IF(OR(B760="",D760="",E760="",F760=""),"Missing details",IF(LEN(B760)&gt;80,"Name too long",IF(COUNTIFS($A$2:$A$1001,A760,$B$2:$B$1001,B760)&gt;1,"Duplicate court name",IF(AND(C760&lt;&gt;"",C760&lt;&gt;"Hard",C760&lt;&gt;"Synthetic",C760&lt;&gt;"Other",C760&lt;&gt;"Not sure"),"Unknown surface",IF(OR(AND(D760&lt;&gt;"Yes",D760&lt;&gt;"No"),AND(E760&lt;&gt;"Yes",E760&lt;&gt;"No"),AND(F760&lt;&gt;"Yes",F760&lt;&gt;"No")),"Use Yes or No","OK")))))))</f>
      </c>
    </row>
    <row r="761">
      <c r="G761" s="4">
        <f>IF(A761="","",IF(COUNTIF(Venues!$A$2:$A$201,A761)=0,"Unknown venue code",IF(OR(B761="",D761="",E761="",F761=""),"Missing details",IF(LEN(B761)&gt;80,"Name too long",IF(COUNTIFS($A$2:$A$1001,A761,$B$2:$B$1001,B761)&gt;1,"Duplicate court name",IF(AND(C761&lt;&gt;"",C761&lt;&gt;"Hard",C761&lt;&gt;"Synthetic",C761&lt;&gt;"Other",C761&lt;&gt;"Not sure"),"Unknown surface",IF(OR(AND(D761&lt;&gt;"Yes",D761&lt;&gt;"No"),AND(E761&lt;&gt;"Yes",E761&lt;&gt;"No"),AND(F761&lt;&gt;"Yes",F761&lt;&gt;"No")),"Use Yes or No","OK")))))))</f>
      </c>
    </row>
    <row r="762">
      <c r="G762" s="4">
        <f>IF(A762="","",IF(COUNTIF(Venues!$A$2:$A$201,A762)=0,"Unknown venue code",IF(OR(B762="",D762="",E762="",F762=""),"Missing details",IF(LEN(B762)&gt;80,"Name too long",IF(COUNTIFS($A$2:$A$1001,A762,$B$2:$B$1001,B762)&gt;1,"Duplicate court name",IF(AND(C762&lt;&gt;"",C762&lt;&gt;"Hard",C762&lt;&gt;"Synthetic",C762&lt;&gt;"Other",C762&lt;&gt;"Not sure"),"Unknown surface",IF(OR(AND(D762&lt;&gt;"Yes",D762&lt;&gt;"No"),AND(E762&lt;&gt;"Yes",E762&lt;&gt;"No"),AND(F762&lt;&gt;"Yes",F762&lt;&gt;"No")),"Use Yes or No","OK")))))))</f>
      </c>
    </row>
    <row r="763">
      <c r="G763" s="4">
        <f>IF(A763="","",IF(COUNTIF(Venues!$A$2:$A$201,A763)=0,"Unknown venue code",IF(OR(B763="",D763="",E763="",F763=""),"Missing details",IF(LEN(B763)&gt;80,"Name too long",IF(COUNTIFS($A$2:$A$1001,A763,$B$2:$B$1001,B763)&gt;1,"Duplicate court name",IF(AND(C763&lt;&gt;"",C763&lt;&gt;"Hard",C763&lt;&gt;"Synthetic",C763&lt;&gt;"Other",C763&lt;&gt;"Not sure"),"Unknown surface",IF(OR(AND(D763&lt;&gt;"Yes",D763&lt;&gt;"No"),AND(E763&lt;&gt;"Yes",E763&lt;&gt;"No"),AND(F763&lt;&gt;"Yes",F763&lt;&gt;"No")),"Use Yes or No","OK")))))))</f>
      </c>
    </row>
    <row r="764">
      <c r="G764" s="4">
        <f>IF(A764="","",IF(COUNTIF(Venues!$A$2:$A$201,A764)=0,"Unknown venue code",IF(OR(B764="",D764="",E764="",F764=""),"Missing details",IF(LEN(B764)&gt;80,"Name too long",IF(COUNTIFS($A$2:$A$1001,A764,$B$2:$B$1001,B764)&gt;1,"Duplicate court name",IF(AND(C764&lt;&gt;"",C764&lt;&gt;"Hard",C764&lt;&gt;"Synthetic",C764&lt;&gt;"Other",C764&lt;&gt;"Not sure"),"Unknown surface",IF(OR(AND(D764&lt;&gt;"Yes",D764&lt;&gt;"No"),AND(E764&lt;&gt;"Yes",E764&lt;&gt;"No"),AND(F764&lt;&gt;"Yes",F764&lt;&gt;"No")),"Use Yes or No","OK")))))))</f>
      </c>
    </row>
    <row r="765">
      <c r="G765" s="4">
        <f>IF(A765="","",IF(COUNTIF(Venues!$A$2:$A$201,A765)=0,"Unknown venue code",IF(OR(B765="",D765="",E765="",F765=""),"Missing details",IF(LEN(B765)&gt;80,"Name too long",IF(COUNTIFS($A$2:$A$1001,A765,$B$2:$B$1001,B765)&gt;1,"Duplicate court name",IF(AND(C765&lt;&gt;"",C765&lt;&gt;"Hard",C765&lt;&gt;"Synthetic",C765&lt;&gt;"Other",C765&lt;&gt;"Not sure"),"Unknown surface",IF(OR(AND(D765&lt;&gt;"Yes",D765&lt;&gt;"No"),AND(E765&lt;&gt;"Yes",E765&lt;&gt;"No"),AND(F765&lt;&gt;"Yes",F765&lt;&gt;"No")),"Use Yes or No","OK")))))))</f>
      </c>
    </row>
    <row r="766">
      <c r="G766" s="4">
        <f>IF(A766="","",IF(COUNTIF(Venues!$A$2:$A$201,A766)=0,"Unknown venue code",IF(OR(B766="",D766="",E766="",F766=""),"Missing details",IF(LEN(B766)&gt;80,"Name too long",IF(COUNTIFS($A$2:$A$1001,A766,$B$2:$B$1001,B766)&gt;1,"Duplicate court name",IF(AND(C766&lt;&gt;"",C766&lt;&gt;"Hard",C766&lt;&gt;"Synthetic",C766&lt;&gt;"Other",C766&lt;&gt;"Not sure"),"Unknown surface",IF(OR(AND(D766&lt;&gt;"Yes",D766&lt;&gt;"No"),AND(E766&lt;&gt;"Yes",E766&lt;&gt;"No"),AND(F766&lt;&gt;"Yes",F766&lt;&gt;"No")),"Use Yes or No","OK")))))))</f>
      </c>
    </row>
    <row r="767">
      <c r="G767" s="4">
        <f>IF(A767="","",IF(COUNTIF(Venues!$A$2:$A$201,A767)=0,"Unknown venue code",IF(OR(B767="",D767="",E767="",F767=""),"Missing details",IF(LEN(B767)&gt;80,"Name too long",IF(COUNTIFS($A$2:$A$1001,A767,$B$2:$B$1001,B767)&gt;1,"Duplicate court name",IF(AND(C767&lt;&gt;"",C767&lt;&gt;"Hard",C767&lt;&gt;"Synthetic",C767&lt;&gt;"Other",C767&lt;&gt;"Not sure"),"Unknown surface",IF(OR(AND(D767&lt;&gt;"Yes",D767&lt;&gt;"No"),AND(E767&lt;&gt;"Yes",E767&lt;&gt;"No"),AND(F767&lt;&gt;"Yes",F767&lt;&gt;"No")),"Use Yes or No","OK")))))))</f>
      </c>
    </row>
    <row r="768">
      <c r="G768" s="4">
        <f>IF(A768="","",IF(COUNTIF(Venues!$A$2:$A$201,A768)=0,"Unknown venue code",IF(OR(B768="",D768="",E768="",F768=""),"Missing details",IF(LEN(B768)&gt;80,"Name too long",IF(COUNTIFS($A$2:$A$1001,A768,$B$2:$B$1001,B768)&gt;1,"Duplicate court name",IF(AND(C768&lt;&gt;"",C768&lt;&gt;"Hard",C768&lt;&gt;"Synthetic",C768&lt;&gt;"Other",C768&lt;&gt;"Not sure"),"Unknown surface",IF(OR(AND(D768&lt;&gt;"Yes",D768&lt;&gt;"No"),AND(E768&lt;&gt;"Yes",E768&lt;&gt;"No"),AND(F768&lt;&gt;"Yes",F768&lt;&gt;"No")),"Use Yes or No","OK")))))))</f>
      </c>
    </row>
    <row r="769">
      <c r="G769" s="4">
        <f>IF(A769="","",IF(COUNTIF(Venues!$A$2:$A$201,A769)=0,"Unknown venue code",IF(OR(B769="",D769="",E769="",F769=""),"Missing details",IF(LEN(B769)&gt;80,"Name too long",IF(COUNTIFS($A$2:$A$1001,A769,$B$2:$B$1001,B769)&gt;1,"Duplicate court name",IF(AND(C769&lt;&gt;"",C769&lt;&gt;"Hard",C769&lt;&gt;"Synthetic",C769&lt;&gt;"Other",C769&lt;&gt;"Not sure"),"Unknown surface",IF(OR(AND(D769&lt;&gt;"Yes",D769&lt;&gt;"No"),AND(E769&lt;&gt;"Yes",E769&lt;&gt;"No"),AND(F769&lt;&gt;"Yes",F769&lt;&gt;"No")),"Use Yes or No","OK")))))))</f>
      </c>
    </row>
    <row r="770">
      <c r="G770" s="4">
        <f>IF(A770="","",IF(COUNTIF(Venues!$A$2:$A$201,A770)=0,"Unknown venue code",IF(OR(B770="",D770="",E770="",F770=""),"Missing details",IF(LEN(B770)&gt;80,"Name too long",IF(COUNTIFS($A$2:$A$1001,A770,$B$2:$B$1001,B770)&gt;1,"Duplicate court name",IF(AND(C770&lt;&gt;"",C770&lt;&gt;"Hard",C770&lt;&gt;"Synthetic",C770&lt;&gt;"Other",C770&lt;&gt;"Not sure"),"Unknown surface",IF(OR(AND(D770&lt;&gt;"Yes",D770&lt;&gt;"No"),AND(E770&lt;&gt;"Yes",E770&lt;&gt;"No"),AND(F770&lt;&gt;"Yes",F770&lt;&gt;"No")),"Use Yes or No","OK")))))))</f>
      </c>
    </row>
    <row r="771">
      <c r="G771" s="4">
        <f>IF(A771="","",IF(COUNTIF(Venues!$A$2:$A$201,A771)=0,"Unknown venue code",IF(OR(B771="",D771="",E771="",F771=""),"Missing details",IF(LEN(B771)&gt;80,"Name too long",IF(COUNTIFS($A$2:$A$1001,A771,$B$2:$B$1001,B771)&gt;1,"Duplicate court name",IF(AND(C771&lt;&gt;"",C771&lt;&gt;"Hard",C771&lt;&gt;"Synthetic",C771&lt;&gt;"Other",C771&lt;&gt;"Not sure"),"Unknown surface",IF(OR(AND(D771&lt;&gt;"Yes",D771&lt;&gt;"No"),AND(E771&lt;&gt;"Yes",E771&lt;&gt;"No"),AND(F771&lt;&gt;"Yes",F771&lt;&gt;"No")),"Use Yes or No","OK")))))))</f>
      </c>
    </row>
    <row r="772">
      <c r="G772" s="4">
        <f>IF(A772="","",IF(COUNTIF(Venues!$A$2:$A$201,A772)=0,"Unknown venue code",IF(OR(B772="",D772="",E772="",F772=""),"Missing details",IF(LEN(B772)&gt;80,"Name too long",IF(COUNTIFS($A$2:$A$1001,A772,$B$2:$B$1001,B772)&gt;1,"Duplicate court name",IF(AND(C772&lt;&gt;"",C772&lt;&gt;"Hard",C772&lt;&gt;"Synthetic",C772&lt;&gt;"Other",C772&lt;&gt;"Not sure"),"Unknown surface",IF(OR(AND(D772&lt;&gt;"Yes",D772&lt;&gt;"No"),AND(E772&lt;&gt;"Yes",E772&lt;&gt;"No"),AND(F772&lt;&gt;"Yes",F772&lt;&gt;"No")),"Use Yes or No","OK")))))))</f>
      </c>
    </row>
    <row r="773">
      <c r="G773" s="4">
        <f>IF(A773="","",IF(COUNTIF(Venues!$A$2:$A$201,A773)=0,"Unknown venue code",IF(OR(B773="",D773="",E773="",F773=""),"Missing details",IF(LEN(B773)&gt;80,"Name too long",IF(COUNTIFS($A$2:$A$1001,A773,$B$2:$B$1001,B773)&gt;1,"Duplicate court name",IF(AND(C773&lt;&gt;"",C773&lt;&gt;"Hard",C773&lt;&gt;"Synthetic",C773&lt;&gt;"Other",C773&lt;&gt;"Not sure"),"Unknown surface",IF(OR(AND(D773&lt;&gt;"Yes",D773&lt;&gt;"No"),AND(E773&lt;&gt;"Yes",E773&lt;&gt;"No"),AND(F773&lt;&gt;"Yes",F773&lt;&gt;"No")),"Use Yes or No","OK")))))))</f>
      </c>
    </row>
    <row r="774">
      <c r="G774" s="4">
        <f>IF(A774="","",IF(COUNTIF(Venues!$A$2:$A$201,A774)=0,"Unknown venue code",IF(OR(B774="",D774="",E774="",F774=""),"Missing details",IF(LEN(B774)&gt;80,"Name too long",IF(COUNTIFS($A$2:$A$1001,A774,$B$2:$B$1001,B774)&gt;1,"Duplicate court name",IF(AND(C774&lt;&gt;"",C774&lt;&gt;"Hard",C774&lt;&gt;"Synthetic",C774&lt;&gt;"Other",C774&lt;&gt;"Not sure"),"Unknown surface",IF(OR(AND(D774&lt;&gt;"Yes",D774&lt;&gt;"No"),AND(E774&lt;&gt;"Yes",E774&lt;&gt;"No"),AND(F774&lt;&gt;"Yes",F774&lt;&gt;"No")),"Use Yes or No","OK")))))))</f>
      </c>
    </row>
    <row r="775">
      <c r="G775" s="4">
        <f>IF(A775="","",IF(COUNTIF(Venues!$A$2:$A$201,A775)=0,"Unknown venue code",IF(OR(B775="",D775="",E775="",F775=""),"Missing details",IF(LEN(B775)&gt;80,"Name too long",IF(COUNTIFS($A$2:$A$1001,A775,$B$2:$B$1001,B775)&gt;1,"Duplicate court name",IF(AND(C775&lt;&gt;"",C775&lt;&gt;"Hard",C775&lt;&gt;"Synthetic",C775&lt;&gt;"Other",C775&lt;&gt;"Not sure"),"Unknown surface",IF(OR(AND(D775&lt;&gt;"Yes",D775&lt;&gt;"No"),AND(E775&lt;&gt;"Yes",E775&lt;&gt;"No"),AND(F775&lt;&gt;"Yes",F775&lt;&gt;"No")),"Use Yes or No","OK")))))))</f>
      </c>
    </row>
    <row r="776">
      <c r="G776" s="4">
        <f>IF(A776="","",IF(COUNTIF(Venues!$A$2:$A$201,A776)=0,"Unknown venue code",IF(OR(B776="",D776="",E776="",F776=""),"Missing details",IF(LEN(B776)&gt;80,"Name too long",IF(COUNTIFS($A$2:$A$1001,A776,$B$2:$B$1001,B776)&gt;1,"Duplicate court name",IF(AND(C776&lt;&gt;"",C776&lt;&gt;"Hard",C776&lt;&gt;"Synthetic",C776&lt;&gt;"Other",C776&lt;&gt;"Not sure"),"Unknown surface",IF(OR(AND(D776&lt;&gt;"Yes",D776&lt;&gt;"No"),AND(E776&lt;&gt;"Yes",E776&lt;&gt;"No"),AND(F776&lt;&gt;"Yes",F776&lt;&gt;"No")),"Use Yes or No","OK")))))))</f>
      </c>
    </row>
    <row r="777">
      <c r="G777" s="4">
        <f>IF(A777="","",IF(COUNTIF(Venues!$A$2:$A$201,A777)=0,"Unknown venue code",IF(OR(B777="",D777="",E777="",F777=""),"Missing details",IF(LEN(B777)&gt;80,"Name too long",IF(COUNTIFS($A$2:$A$1001,A777,$B$2:$B$1001,B777)&gt;1,"Duplicate court name",IF(AND(C777&lt;&gt;"",C777&lt;&gt;"Hard",C777&lt;&gt;"Synthetic",C777&lt;&gt;"Other",C777&lt;&gt;"Not sure"),"Unknown surface",IF(OR(AND(D777&lt;&gt;"Yes",D777&lt;&gt;"No"),AND(E777&lt;&gt;"Yes",E777&lt;&gt;"No"),AND(F777&lt;&gt;"Yes",F777&lt;&gt;"No")),"Use Yes or No","OK")))))))</f>
      </c>
    </row>
    <row r="778">
      <c r="G778" s="4">
        <f>IF(A778="","",IF(COUNTIF(Venues!$A$2:$A$201,A778)=0,"Unknown venue code",IF(OR(B778="",D778="",E778="",F778=""),"Missing details",IF(LEN(B778)&gt;80,"Name too long",IF(COUNTIFS($A$2:$A$1001,A778,$B$2:$B$1001,B778)&gt;1,"Duplicate court name",IF(AND(C778&lt;&gt;"",C778&lt;&gt;"Hard",C778&lt;&gt;"Synthetic",C778&lt;&gt;"Other",C778&lt;&gt;"Not sure"),"Unknown surface",IF(OR(AND(D778&lt;&gt;"Yes",D778&lt;&gt;"No"),AND(E778&lt;&gt;"Yes",E778&lt;&gt;"No"),AND(F778&lt;&gt;"Yes",F778&lt;&gt;"No")),"Use Yes or No","OK")))))))</f>
      </c>
    </row>
    <row r="779">
      <c r="G779" s="4">
        <f>IF(A779="","",IF(COUNTIF(Venues!$A$2:$A$201,A779)=0,"Unknown venue code",IF(OR(B779="",D779="",E779="",F779=""),"Missing details",IF(LEN(B779)&gt;80,"Name too long",IF(COUNTIFS($A$2:$A$1001,A779,$B$2:$B$1001,B779)&gt;1,"Duplicate court name",IF(AND(C779&lt;&gt;"",C779&lt;&gt;"Hard",C779&lt;&gt;"Synthetic",C779&lt;&gt;"Other",C779&lt;&gt;"Not sure"),"Unknown surface",IF(OR(AND(D779&lt;&gt;"Yes",D779&lt;&gt;"No"),AND(E779&lt;&gt;"Yes",E779&lt;&gt;"No"),AND(F779&lt;&gt;"Yes",F779&lt;&gt;"No")),"Use Yes or No","OK")))))))</f>
      </c>
    </row>
    <row r="780">
      <c r="G780" s="4">
        <f>IF(A780="","",IF(COUNTIF(Venues!$A$2:$A$201,A780)=0,"Unknown venue code",IF(OR(B780="",D780="",E780="",F780=""),"Missing details",IF(LEN(B780)&gt;80,"Name too long",IF(COUNTIFS($A$2:$A$1001,A780,$B$2:$B$1001,B780)&gt;1,"Duplicate court name",IF(AND(C780&lt;&gt;"",C780&lt;&gt;"Hard",C780&lt;&gt;"Synthetic",C780&lt;&gt;"Other",C780&lt;&gt;"Not sure"),"Unknown surface",IF(OR(AND(D780&lt;&gt;"Yes",D780&lt;&gt;"No"),AND(E780&lt;&gt;"Yes",E780&lt;&gt;"No"),AND(F780&lt;&gt;"Yes",F780&lt;&gt;"No")),"Use Yes or No","OK")))))))</f>
      </c>
    </row>
    <row r="781">
      <c r="G781" s="4">
        <f>IF(A781="","",IF(COUNTIF(Venues!$A$2:$A$201,A781)=0,"Unknown venue code",IF(OR(B781="",D781="",E781="",F781=""),"Missing details",IF(LEN(B781)&gt;80,"Name too long",IF(COUNTIFS($A$2:$A$1001,A781,$B$2:$B$1001,B781)&gt;1,"Duplicate court name",IF(AND(C781&lt;&gt;"",C781&lt;&gt;"Hard",C781&lt;&gt;"Synthetic",C781&lt;&gt;"Other",C781&lt;&gt;"Not sure"),"Unknown surface",IF(OR(AND(D781&lt;&gt;"Yes",D781&lt;&gt;"No"),AND(E781&lt;&gt;"Yes",E781&lt;&gt;"No"),AND(F781&lt;&gt;"Yes",F781&lt;&gt;"No")),"Use Yes or No","OK")))))))</f>
      </c>
    </row>
    <row r="782">
      <c r="G782" s="4">
        <f>IF(A782="","",IF(COUNTIF(Venues!$A$2:$A$201,A782)=0,"Unknown venue code",IF(OR(B782="",D782="",E782="",F782=""),"Missing details",IF(LEN(B782)&gt;80,"Name too long",IF(COUNTIFS($A$2:$A$1001,A782,$B$2:$B$1001,B782)&gt;1,"Duplicate court name",IF(AND(C782&lt;&gt;"",C782&lt;&gt;"Hard",C782&lt;&gt;"Synthetic",C782&lt;&gt;"Other",C782&lt;&gt;"Not sure"),"Unknown surface",IF(OR(AND(D782&lt;&gt;"Yes",D782&lt;&gt;"No"),AND(E782&lt;&gt;"Yes",E782&lt;&gt;"No"),AND(F782&lt;&gt;"Yes",F782&lt;&gt;"No")),"Use Yes or No","OK")))))))</f>
      </c>
    </row>
    <row r="783">
      <c r="G783" s="4">
        <f>IF(A783="","",IF(COUNTIF(Venues!$A$2:$A$201,A783)=0,"Unknown venue code",IF(OR(B783="",D783="",E783="",F783=""),"Missing details",IF(LEN(B783)&gt;80,"Name too long",IF(COUNTIFS($A$2:$A$1001,A783,$B$2:$B$1001,B783)&gt;1,"Duplicate court name",IF(AND(C783&lt;&gt;"",C783&lt;&gt;"Hard",C783&lt;&gt;"Synthetic",C783&lt;&gt;"Other",C783&lt;&gt;"Not sure"),"Unknown surface",IF(OR(AND(D783&lt;&gt;"Yes",D783&lt;&gt;"No"),AND(E783&lt;&gt;"Yes",E783&lt;&gt;"No"),AND(F783&lt;&gt;"Yes",F783&lt;&gt;"No")),"Use Yes or No","OK")))))))</f>
      </c>
    </row>
    <row r="784">
      <c r="G784" s="4">
        <f>IF(A784="","",IF(COUNTIF(Venues!$A$2:$A$201,A784)=0,"Unknown venue code",IF(OR(B784="",D784="",E784="",F784=""),"Missing details",IF(LEN(B784)&gt;80,"Name too long",IF(COUNTIFS($A$2:$A$1001,A784,$B$2:$B$1001,B784)&gt;1,"Duplicate court name",IF(AND(C784&lt;&gt;"",C784&lt;&gt;"Hard",C784&lt;&gt;"Synthetic",C784&lt;&gt;"Other",C784&lt;&gt;"Not sure"),"Unknown surface",IF(OR(AND(D784&lt;&gt;"Yes",D784&lt;&gt;"No"),AND(E784&lt;&gt;"Yes",E784&lt;&gt;"No"),AND(F784&lt;&gt;"Yes",F784&lt;&gt;"No")),"Use Yes or No","OK")))))))</f>
      </c>
    </row>
    <row r="785">
      <c r="G785" s="4">
        <f>IF(A785="","",IF(COUNTIF(Venues!$A$2:$A$201,A785)=0,"Unknown venue code",IF(OR(B785="",D785="",E785="",F785=""),"Missing details",IF(LEN(B785)&gt;80,"Name too long",IF(COUNTIFS($A$2:$A$1001,A785,$B$2:$B$1001,B785)&gt;1,"Duplicate court name",IF(AND(C785&lt;&gt;"",C785&lt;&gt;"Hard",C785&lt;&gt;"Synthetic",C785&lt;&gt;"Other",C785&lt;&gt;"Not sure"),"Unknown surface",IF(OR(AND(D785&lt;&gt;"Yes",D785&lt;&gt;"No"),AND(E785&lt;&gt;"Yes",E785&lt;&gt;"No"),AND(F785&lt;&gt;"Yes",F785&lt;&gt;"No")),"Use Yes or No","OK")))))))</f>
      </c>
    </row>
    <row r="786">
      <c r="G786" s="4">
        <f>IF(A786="","",IF(COUNTIF(Venues!$A$2:$A$201,A786)=0,"Unknown venue code",IF(OR(B786="",D786="",E786="",F786=""),"Missing details",IF(LEN(B786)&gt;80,"Name too long",IF(COUNTIFS($A$2:$A$1001,A786,$B$2:$B$1001,B786)&gt;1,"Duplicate court name",IF(AND(C786&lt;&gt;"",C786&lt;&gt;"Hard",C786&lt;&gt;"Synthetic",C786&lt;&gt;"Other",C786&lt;&gt;"Not sure"),"Unknown surface",IF(OR(AND(D786&lt;&gt;"Yes",D786&lt;&gt;"No"),AND(E786&lt;&gt;"Yes",E786&lt;&gt;"No"),AND(F786&lt;&gt;"Yes",F786&lt;&gt;"No")),"Use Yes or No","OK")))))))</f>
      </c>
    </row>
    <row r="787">
      <c r="G787" s="4">
        <f>IF(A787="","",IF(COUNTIF(Venues!$A$2:$A$201,A787)=0,"Unknown venue code",IF(OR(B787="",D787="",E787="",F787=""),"Missing details",IF(LEN(B787)&gt;80,"Name too long",IF(COUNTIFS($A$2:$A$1001,A787,$B$2:$B$1001,B787)&gt;1,"Duplicate court name",IF(AND(C787&lt;&gt;"",C787&lt;&gt;"Hard",C787&lt;&gt;"Synthetic",C787&lt;&gt;"Other",C787&lt;&gt;"Not sure"),"Unknown surface",IF(OR(AND(D787&lt;&gt;"Yes",D787&lt;&gt;"No"),AND(E787&lt;&gt;"Yes",E787&lt;&gt;"No"),AND(F787&lt;&gt;"Yes",F787&lt;&gt;"No")),"Use Yes or No","OK")))))))</f>
      </c>
    </row>
    <row r="788">
      <c r="G788" s="4">
        <f>IF(A788="","",IF(COUNTIF(Venues!$A$2:$A$201,A788)=0,"Unknown venue code",IF(OR(B788="",D788="",E788="",F788=""),"Missing details",IF(LEN(B788)&gt;80,"Name too long",IF(COUNTIFS($A$2:$A$1001,A788,$B$2:$B$1001,B788)&gt;1,"Duplicate court name",IF(AND(C788&lt;&gt;"",C788&lt;&gt;"Hard",C788&lt;&gt;"Synthetic",C788&lt;&gt;"Other",C788&lt;&gt;"Not sure"),"Unknown surface",IF(OR(AND(D788&lt;&gt;"Yes",D788&lt;&gt;"No"),AND(E788&lt;&gt;"Yes",E788&lt;&gt;"No"),AND(F788&lt;&gt;"Yes",F788&lt;&gt;"No")),"Use Yes or No","OK")))))))</f>
      </c>
    </row>
    <row r="789">
      <c r="G789" s="4">
        <f>IF(A789="","",IF(COUNTIF(Venues!$A$2:$A$201,A789)=0,"Unknown venue code",IF(OR(B789="",D789="",E789="",F789=""),"Missing details",IF(LEN(B789)&gt;80,"Name too long",IF(COUNTIFS($A$2:$A$1001,A789,$B$2:$B$1001,B789)&gt;1,"Duplicate court name",IF(AND(C789&lt;&gt;"",C789&lt;&gt;"Hard",C789&lt;&gt;"Synthetic",C789&lt;&gt;"Other",C789&lt;&gt;"Not sure"),"Unknown surface",IF(OR(AND(D789&lt;&gt;"Yes",D789&lt;&gt;"No"),AND(E789&lt;&gt;"Yes",E789&lt;&gt;"No"),AND(F789&lt;&gt;"Yes",F789&lt;&gt;"No")),"Use Yes or No","OK")))))))</f>
      </c>
    </row>
    <row r="790">
      <c r="G790" s="4">
        <f>IF(A790="","",IF(COUNTIF(Venues!$A$2:$A$201,A790)=0,"Unknown venue code",IF(OR(B790="",D790="",E790="",F790=""),"Missing details",IF(LEN(B790)&gt;80,"Name too long",IF(COUNTIFS($A$2:$A$1001,A790,$B$2:$B$1001,B790)&gt;1,"Duplicate court name",IF(AND(C790&lt;&gt;"",C790&lt;&gt;"Hard",C790&lt;&gt;"Synthetic",C790&lt;&gt;"Other",C790&lt;&gt;"Not sure"),"Unknown surface",IF(OR(AND(D790&lt;&gt;"Yes",D790&lt;&gt;"No"),AND(E790&lt;&gt;"Yes",E790&lt;&gt;"No"),AND(F790&lt;&gt;"Yes",F790&lt;&gt;"No")),"Use Yes or No","OK")))))))</f>
      </c>
    </row>
    <row r="791">
      <c r="G791" s="4">
        <f>IF(A791="","",IF(COUNTIF(Venues!$A$2:$A$201,A791)=0,"Unknown venue code",IF(OR(B791="",D791="",E791="",F791=""),"Missing details",IF(LEN(B791)&gt;80,"Name too long",IF(COUNTIFS($A$2:$A$1001,A791,$B$2:$B$1001,B791)&gt;1,"Duplicate court name",IF(AND(C791&lt;&gt;"",C791&lt;&gt;"Hard",C791&lt;&gt;"Synthetic",C791&lt;&gt;"Other",C791&lt;&gt;"Not sure"),"Unknown surface",IF(OR(AND(D791&lt;&gt;"Yes",D791&lt;&gt;"No"),AND(E791&lt;&gt;"Yes",E791&lt;&gt;"No"),AND(F791&lt;&gt;"Yes",F791&lt;&gt;"No")),"Use Yes or No","OK")))))))</f>
      </c>
    </row>
    <row r="792">
      <c r="G792" s="4">
        <f>IF(A792="","",IF(COUNTIF(Venues!$A$2:$A$201,A792)=0,"Unknown venue code",IF(OR(B792="",D792="",E792="",F792=""),"Missing details",IF(LEN(B792)&gt;80,"Name too long",IF(COUNTIFS($A$2:$A$1001,A792,$B$2:$B$1001,B792)&gt;1,"Duplicate court name",IF(AND(C792&lt;&gt;"",C792&lt;&gt;"Hard",C792&lt;&gt;"Synthetic",C792&lt;&gt;"Other",C792&lt;&gt;"Not sure"),"Unknown surface",IF(OR(AND(D792&lt;&gt;"Yes",D792&lt;&gt;"No"),AND(E792&lt;&gt;"Yes",E792&lt;&gt;"No"),AND(F792&lt;&gt;"Yes",F792&lt;&gt;"No")),"Use Yes or No","OK")))))))</f>
      </c>
    </row>
    <row r="793">
      <c r="G793" s="4">
        <f>IF(A793="","",IF(COUNTIF(Venues!$A$2:$A$201,A793)=0,"Unknown venue code",IF(OR(B793="",D793="",E793="",F793=""),"Missing details",IF(LEN(B793)&gt;80,"Name too long",IF(COUNTIFS($A$2:$A$1001,A793,$B$2:$B$1001,B793)&gt;1,"Duplicate court name",IF(AND(C793&lt;&gt;"",C793&lt;&gt;"Hard",C793&lt;&gt;"Synthetic",C793&lt;&gt;"Other",C793&lt;&gt;"Not sure"),"Unknown surface",IF(OR(AND(D793&lt;&gt;"Yes",D793&lt;&gt;"No"),AND(E793&lt;&gt;"Yes",E793&lt;&gt;"No"),AND(F793&lt;&gt;"Yes",F793&lt;&gt;"No")),"Use Yes or No","OK")))))))</f>
      </c>
    </row>
    <row r="794">
      <c r="G794" s="4">
        <f>IF(A794="","",IF(COUNTIF(Venues!$A$2:$A$201,A794)=0,"Unknown venue code",IF(OR(B794="",D794="",E794="",F794=""),"Missing details",IF(LEN(B794)&gt;80,"Name too long",IF(COUNTIFS($A$2:$A$1001,A794,$B$2:$B$1001,B794)&gt;1,"Duplicate court name",IF(AND(C794&lt;&gt;"",C794&lt;&gt;"Hard",C794&lt;&gt;"Synthetic",C794&lt;&gt;"Other",C794&lt;&gt;"Not sure"),"Unknown surface",IF(OR(AND(D794&lt;&gt;"Yes",D794&lt;&gt;"No"),AND(E794&lt;&gt;"Yes",E794&lt;&gt;"No"),AND(F794&lt;&gt;"Yes",F794&lt;&gt;"No")),"Use Yes or No","OK")))))))</f>
      </c>
    </row>
    <row r="795">
      <c r="G795" s="4">
        <f>IF(A795="","",IF(COUNTIF(Venues!$A$2:$A$201,A795)=0,"Unknown venue code",IF(OR(B795="",D795="",E795="",F795=""),"Missing details",IF(LEN(B795)&gt;80,"Name too long",IF(COUNTIFS($A$2:$A$1001,A795,$B$2:$B$1001,B795)&gt;1,"Duplicate court name",IF(AND(C795&lt;&gt;"",C795&lt;&gt;"Hard",C795&lt;&gt;"Synthetic",C795&lt;&gt;"Other",C795&lt;&gt;"Not sure"),"Unknown surface",IF(OR(AND(D795&lt;&gt;"Yes",D795&lt;&gt;"No"),AND(E795&lt;&gt;"Yes",E795&lt;&gt;"No"),AND(F795&lt;&gt;"Yes",F795&lt;&gt;"No")),"Use Yes or No","OK")))))))</f>
      </c>
    </row>
    <row r="796">
      <c r="G796" s="4">
        <f>IF(A796="","",IF(COUNTIF(Venues!$A$2:$A$201,A796)=0,"Unknown venue code",IF(OR(B796="",D796="",E796="",F796=""),"Missing details",IF(LEN(B796)&gt;80,"Name too long",IF(COUNTIFS($A$2:$A$1001,A796,$B$2:$B$1001,B796)&gt;1,"Duplicate court name",IF(AND(C796&lt;&gt;"",C796&lt;&gt;"Hard",C796&lt;&gt;"Synthetic",C796&lt;&gt;"Other",C796&lt;&gt;"Not sure"),"Unknown surface",IF(OR(AND(D796&lt;&gt;"Yes",D796&lt;&gt;"No"),AND(E796&lt;&gt;"Yes",E796&lt;&gt;"No"),AND(F796&lt;&gt;"Yes",F796&lt;&gt;"No")),"Use Yes or No","OK")))))))</f>
      </c>
    </row>
    <row r="797">
      <c r="G797" s="4">
        <f>IF(A797="","",IF(COUNTIF(Venues!$A$2:$A$201,A797)=0,"Unknown venue code",IF(OR(B797="",D797="",E797="",F797=""),"Missing details",IF(LEN(B797)&gt;80,"Name too long",IF(COUNTIFS($A$2:$A$1001,A797,$B$2:$B$1001,B797)&gt;1,"Duplicate court name",IF(AND(C797&lt;&gt;"",C797&lt;&gt;"Hard",C797&lt;&gt;"Synthetic",C797&lt;&gt;"Other",C797&lt;&gt;"Not sure"),"Unknown surface",IF(OR(AND(D797&lt;&gt;"Yes",D797&lt;&gt;"No"),AND(E797&lt;&gt;"Yes",E797&lt;&gt;"No"),AND(F797&lt;&gt;"Yes",F797&lt;&gt;"No")),"Use Yes or No","OK")))))))</f>
      </c>
    </row>
    <row r="798">
      <c r="G798" s="4">
        <f>IF(A798="","",IF(COUNTIF(Venues!$A$2:$A$201,A798)=0,"Unknown venue code",IF(OR(B798="",D798="",E798="",F798=""),"Missing details",IF(LEN(B798)&gt;80,"Name too long",IF(COUNTIFS($A$2:$A$1001,A798,$B$2:$B$1001,B798)&gt;1,"Duplicate court name",IF(AND(C798&lt;&gt;"",C798&lt;&gt;"Hard",C798&lt;&gt;"Synthetic",C798&lt;&gt;"Other",C798&lt;&gt;"Not sure"),"Unknown surface",IF(OR(AND(D798&lt;&gt;"Yes",D798&lt;&gt;"No"),AND(E798&lt;&gt;"Yes",E798&lt;&gt;"No"),AND(F798&lt;&gt;"Yes",F798&lt;&gt;"No")),"Use Yes or No","OK")))))))</f>
      </c>
    </row>
    <row r="799">
      <c r="G799" s="4">
        <f>IF(A799="","",IF(COUNTIF(Venues!$A$2:$A$201,A799)=0,"Unknown venue code",IF(OR(B799="",D799="",E799="",F799=""),"Missing details",IF(LEN(B799)&gt;80,"Name too long",IF(COUNTIFS($A$2:$A$1001,A799,$B$2:$B$1001,B799)&gt;1,"Duplicate court name",IF(AND(C799&lt;&gt;"",C799&lt;&gt;"Hard",C799&lt;&gt;"Synthetic",C799&lt;&gt;"Other",C799&lt;&gt;"Not sure"),"Unknown surface",IF(OR(AND(D799&lt;&gt;"Yes",D799&lt;&gt;"No"),AND(E799&lt;&gt;"Yes",E799&lt;&gt;"No"),AND(F799&lt;&gt;"Yes",F799&lt;&gt;"No")),"Use Yes or No","OK")))))))</f>
      </c>
    </row>
    <row r="800">
      <c r="G800" s="4">
        <f>IF(A800="","",IF(COUNTIF(Venues!$A$2:$A$201,A800)=0,"Unknown venue code",IF(OR(B800="",D800="",E800="",F800=""),"Missing details",IF(LEN(B800)&gt;80,"Name too long",IF(COUNTIFS($A$2:$A$1001,A800,$B$2:$B$1001,B800)&gt;1,"Duplicate court name",IF(AND(C800&lt;&gt;"",C800&lt;&gt;"Hard",C800&lt;&gt;"Synthetic",C800&lt;&gt;"Other",C800&lt;&gt;"Not sure"),"Unknown surface",IF(OR(AND(D800&lt;&gt;"Yes",D800&lt;&gt;"No"),AND(E800&lt;&gt;"Yes",E800&lt;&gt;"No"),AND(F800&lt;&gt;"Yes",F800&lt;&gt;"No")),"Use Yes or No","OK")))))))</f>
      </c>
    </row>
    <row r="801">
      <c r="G801" s="4">
        <f>IF(A801="","",IF(COUNTIF(Venues!$A$2:$A$201,A801)=0,"Unknown venue code",IF(OR(B801="",D801="",E801="",F801=""),"Missing details",IF(LEN(B801)&gt;80,"Name too long",IF(COUNTIFS($A$2:$A$1001,A801,$B$2:$B$1001,B801)&gt;1,"Duplicate court name",IF(AND(C801&lt;&gt;"",C801&lt;&gt;"Hard",C801&lt;&gt;"Synthetic",C801&lt;&gt;"Other",C801&lt;&gt;"Not sure"),"Unknown surface",IF(OR(AND(D801&lt;&gt;"Yes",D801&lt;&gt;"No"),AND(E801&lt;&gt;"Yes",E801&lt;&gt;"No"),AND(F801&lt;&gt;"Yes",F801&lt;&gt;"No")),"Use Yes or No","OK")))))))</f>
      </c>
    </row>
    <row r="802">
      <c r="G802" s="4">
        <f>IF(A802="","",IF(COUNTIF(Venues!$A$2:$A$201,A802)=0,"Unknown venue code",IF(OR(B802="",D802="",E802="",F802=""),"Missing details",IF(LEN(B802)&gt;80,"Name too long",IF(COUNTIFS($A$2:$A$1001,A802,$B$2:$B$1001,B802)&gt;1,"Duplicate court name",IF(AND(C802&lt;&gt;"",C802&lt;&gt;"Hard",C802&lt;&gt;"Synthetic",C802&lt;&gt;"Other",C802&lt;&gt;"Not sure"),"Unknown surface",IF(OR(AND(D802&lt;&gt;"Yes",D802&lt;&gt;"No"),AND(E802&lt;&gt;"Yes",E802&lt;&gt;"No"),AND(F802&lt;&gt;"Yes",F802&lt;&gt;"No")),"Use Yes or No","OK")))))))</f>
      </c>
    </row>
    <row r="803">
      <c r="G803" s="4">
        <f>IF(A803="","",IF(COUNTIF(Venues!$A$2:$A$201,A803)=0,"Unknown venue code",IF(OR(B803="",D803="",E803="",F803=""),"Missing details",IF(LEN(B803)&gt;80,"Name too long",IF(COUNTIFS($A$2:$A$1001,A803,$B$2:$B$1001,B803)&gt;1,"Duplicate court name",IF(AND(C803&lt;&gt;"",C803&lt;&gt;"Hard",C803&lt;&gt;"Synthetic",C803&lt;&gt;"Other",C803&lt;&gt;"Not sure"),"Unknown surface",IF(OR(AND(D803&lt;&gt;"Yes",D803&lt;&gt;"No"),AND(E803&lt;&gt;"Yes",E803&lt;&gt;"No"),AND(F803&lt;&gt;"Yes",F803&lt;&gt;"No")),"Use Yes or No","OK")))))))</f>
      </c>
    </row>
    <row r="804">
      <c r="G804" s="4">
        <f>IF(A804="","",IF(COUNTIF(Venues!$A$2:$A$201,A804)=0,"Unknown venue code",IF(OR(B804="",D804="",E804="",F804=""),"Missing details",IF(LEN(B804)&gt;80,"Name too long",IF(COUNTIFS($A$2:$A$1001,A804,$B$2:$B$1001,B804)&gt;1,"Duplicate court name",IF(AND(C804&lt;&gt;"",C804&lt;&gt;"Hard",C804&lt;&gt;"Synthetic",C804&lt;&gt;"Other",C804&lt;&gt;"Not sure"),"Unknown surface",IF(OR(AND(D804&lt;&gt;"Yes",D804&lt;&gt;"No"),AND(E804&lt;&gt;"Yes",E804&lt;&gt;"No"),AND(F804&lt;&gt;"Yes",F804&lt;&gt;"No")),"Use Yes or No","OK")))))))</f>
      </c>
    </row>
    <row r="805">
      <c r="G805" s="4">
        <f>IF(A805="","",IF(COUNTIF(Venues!$A$2:$A$201,A805)=0,"Unknown venue code",IF(OR(B805="",D805="",E805="",F805=""),"Missing details",IF(LEN(B805)&gt;80,"Name too long",IF(COUNTIFS($A$2:$A$1001,A805,$B$2:$B$1001,B805)&gt;1,"Duplicate court name",IF(AND(C805&lt;&gt;"",C805&lt;&gt;"Hard",C805&lt;&gt;"Synthetic",C805&lt;&gt;"Other",C805&lt;&gt;"Not sure"),"Unknown surface",IF(OR(AND(D805&lt;&gt;"Yes",D805&lt;&gt;"No"),AND(E805&lt;&gt;"Yes",E805&lt;&gt;"No"),AND(F805&lt;&gt;"Yes",F805&lt;&gt;"No")),"Use Yes or No","OK")))))))</f>
      </c>
    </row>
    <row r="806">
      <c r="G806" s="4">
        <f>IF(A806="","",IF(COUNTIF(Venues!$A$2:$A$201,A806)=0,"Unknown venue code",IF(OR(B806="",D806="",E806="",F806=""),"Missing details",IF(LEN(B806)&gt;80,"Name too long",IF(COUNTIFS($A$2:$A$1001,A806,$B$2:$B$1001,B806)&gt;1,"Duplicate court name",IF(AND(C806&lt;&gt;"",C806&lt;&gt;"Hard",C806&lt;&gt;"Synthetic",C806&lt;&gt;"Other",C806&lt;&gt;"Not sure"),"Unknown surface",IF(OR(AND(D806&lt;&gt;"Yes",D806&lt;&gt;"No"),AND(E806&lt;&gt;"Yes",E806&lt;&gt;"No"),AND(F806&lt;&gt;"Yes",F806&lt;&gt;"No")),"Use Yes or No","OK")))))))</f>
      </c>
    </row>
    <row r="807">
      <c r="G807" s="4">
        <f>IF(A807="","",IF(COUNTIF(Venues!$A$2:$A$201,A807)=0,"Unknown venue code",IF(OR(B807="",D807="",E807="",F807=""),"Missing details",IF(LEN(B807)&gt;80,"Name too long",IF(COUNTIFS($A$2:$A$1001,A807,$B$2:$B$1001,B807)&gt;1,"Duplicate court name",IF(AND(C807&lt;&gt;"",C807&lt;&gt;"Hard",C807&lt;&gt;"Synthetic",C807&lt;&gt;"Other",C807&lt;&gt;"Not sure"),"Unknown surface",IF(OR(AND(D807&lt;&gt;"Yes",D807&lt;&gt;"No"),AND(E807&lt;&gt;"Yes",E807&lt;&gt;"No"),AND(F807&lt;&gt;"Yes",F807&lt;&gt;"No")),"Use Yes or No","OK")))))))</f>
      </c>
    </row>
    <row r="808">
      <c r="G808" s="4">
        <f>IF(A808="","",IF(COUNTIF(Venues!$A$2:$A$201,A808)=0,"Unknown venue code",IF(OR(B808="",D808="",E808="",F808=""),"Missing details",IF(LEN(B808)&gt;80,"Name too long",IF(COUNTIFS($A$2:$A$1001,A808,$B$2:$B$1001,B808)&gt;1,"Duplicate court name",IF(AND(C808&lt;&gt;"",C808&lt;&gt;"Hard",C808&lt;&gt;"Synthetic",C808&lt;&gt;"Other",C808&lt;&gt;"Not sure"),"Unknown surface",IF(OR(AND(D808&lt;&gt;"Yes",D808&lt;&gt;"No"),AND(E808&lt;&gt;"Yes",E808&lt;&gt;"No"),AND(F808&lt;&gt;"Yes",F808&lt;&gt;"No")),"Use Yes or No","OK")))))))</f>
      </c>
    </row>
    <row r="809">
      <c r="G809" s="4">
        <f>IF(A809="","",IF(COUNTIF(Venues!$A$2:$A$201,A809)=0,"Unknown venue code",IF(OR(B809="",D809="",E809="",F809=""),"Missing details",IF(LEN(B809)&gt;80,"Name too long",IF(COUNTIFS($A$2:$A$1001,A809,$B$2:$B$1001,B809)&gt;1,"Duplicate court name",IF(AND(C809&lt;&gt;"",C809&lt;&gt;"Hard",C809&lt;&gt;"Synthetic",C809&lt;&gt;"Other",C809&lt;&gt;"Not sure"),"Unknown surface",IF(OR(AND(D809&lt;&gt;"Yes",D809&lt;&gt;"No"),AND(E809&lt;&gt;"Yes",E809&lt;&gt;"No"),AND(F809&lt;&gt;"Yes",F809&lt;&gt;"No")),"Use Yes or No","OK")))))))</f>
      </c>
    </row>
    <row r="810">
      <c r="G810" s="4">
        <f>IF(A810="","",IF(COUNTIF(Venues!$A$2:$A$201,A810)=0,"Unknown venue code",IF(OR(B810="",D810="",E810="",F810=""),"Missing details",IF(LEN(B810)&gt;80,"Name too long",IF(COUNTIFS($A$2:$A$1001,A810,$B$2:$B$1001,B810)&gt;1,"Duplicate court name",IF(AND(C810&lt;&gt;"",C810&lt;&gt;"Hard",C810&lt;&gt;"Synthetic",C810&lt;&gt;"Other",C810&lt;&gt;"Not sure"),"Unknown surface",IF(OR(AND(D810&lt;&gt;"Yes",D810&lt;&gt;"No"),AND(E810&lt;&gt;"Yes",E810&lt;&gt;"No"),AND(F810&lt;&gt;"Yes",F810&lt;&gt;"No")),"Use Yes or No","OK")))))))</f>
      </c>
    </row>
    <row r="811">
      <c r="G811" s="4">
        <f>IF(A811="","",IF(COUNTIF(Venues!$A$2:$A$201,A811)=0,"Unknown venue code",IF(OR(B811="",D811="",E811="",F811=""),"Missing details",IF(LEN(B811)&gt;80,"Name too long",IF(COUNTIFS($A$2:$A$1001,A811,$B$2:$B$1001,B811)&gt;1,"Duplicate court name",IF(AND(C811&lt;&gt;"",C811&lt;&gt;"Hard",C811&lt;&gt;"Synthetic",C811&lt;&gt;"Other",C811&lt;&gt;"Not sure"),"Unknown surface",IF(OR(AND(D811&lt;&gt;"Yes",D811&lt;&gt;"No"),AND(E811&lt;&gt;"Yes",E811&lt;&gt;"No"),AND(F811&lt;&gt;"Yes",F811&lt;&gt;"No")),"Use Yes or No","OK")))))))</f>
      </c>
    </row>
    <row r="812">
      <c r="G812" s="4">
        <f>IF(A812="","",IF(COUNTIF(Venues!$A$2:$A$201,A812)=0,"Unknown venue code",IF(OR(B812="",D812="",E812="",F812=""),"Missing details",IF(LEN(B812)&gt;80,"Name too long",IF(COUNTIFS($A$2:$A$1001,A812,$B$2:$B$1001,B812)&gt;1,"Duplicate court name",IF(AND(C812&lt;&gt;"",C812&lt;&gt;"Hard",C812&lt;&gt;"Synthetic",C812&lt;&gt;"Other",C812&lt;&gt;"Not sure"),"Unknown surface",IF(OR(AND(D812&lt;&gt;"Yes",D812&lt;&gt;"No"),AND(E812&lt;&gt;"Yes",E812&lt;&gt;"No"),AND(F812&lt;&gt;"Yes",F812&lt;&gt;"No")),"Use Yes or No","OK")))))))</f>
      </c>
    </row>
    <row r="813">
      <c r="G813" s="4">
        <f>IF(A813="","",IF(COUNTIF(Venues!$A$2:$A$201,A813)=0,"Unknown venue code",IF(OR(B813="",D813="",E813="",F813=""),"Missing details",IF(LEN(B813)&gt;80,"Name too long",IF(COUNTIFS($A$2:$A$1001,A813,$B$2:$B$1001,B813)&gt;1,"Duplicate court name",IF(AND(C813&lt;&gt;"",C813&lt;&gt;"Hard",C813&lt;&gt;"Synthetic",C813&lt;&gt;"Other",C813&lt;&gt;"Not sure"),"Unknown surface",IF(OR(AND(D813&lt;&gt;"Yes",D813&lt;&gt;"No"),AND(E813&lt;&gt;"Yes",E813&lt;&gt;"No"),AND(F813&lt;&gt;"Yes",F813&lt;&gt;"No")),"Use Yes or No","OK")))))))</f>
      </c>
    </row>
    <row r="814">
      <c r="G814" s="4">
        <f>IF(A814="","",IF(COUNTIF(Venues!$A$2:$A$201,A814)=0,"Unknown venue code",IF(OR(B814="",D814="",E814="",F814=""),"Missing details",IF(LEN(B814)&gt;80,"Name too long",IF(COUNTIFS($A$2:$A$1001,A814,$B$2:$B$1001,B814)&gt;1,"Duplicate court name",IF(AND(C814&lt;&gt;"",C814&lt;&gt;"Hard",C814&lt;&gt;"Synthetic",C814&lt;&gt;"Other",C814&lt;&gt;"Not sure"),"Unknown surface",IF(OR(AND(D814&lt;&gt;"Yes",D814&lt;&gt;"No"),AND(E814&lt;&gt;"Yes",E814&lt;&gt;"No"),AND(F814&lt;&gt;"Yes",F814&lt;&gt;"No")),"Use Yes or No","OK")))))))</f>
      </c>
    </row>
    <row r="815">
      <c r="G815" s="4">
        <f>IF(A815="","",IF(COUNTIF(Venues!$A$2:$A$201,A815)=0,"Unknown venue code",IF(OR(B815="",D815="",E815="",F815=""),"Missing details",IF(LEN(B815)&gt;80,"Name too long",IF(COUNTIFS($A$2:$A$1001,A815,$B$2:$B$1001,B815)&gt;1,"Duplicate court name",IF(AND(C815&lt;&gt;"",C815&lt;&gt;"Hard",C815&lt;&gt;"Synthetic",C815&lt;&gt;"Other",C815&lt;&gt;"Not sure"),"Unknown surface",IF(OR(AND(D815&lt;&gt;"Yes",D815&lt;&gt;"No"),AND(E815&lt;&gt;"Yes",E815&lt;&gt;"No"),AND(F815&lt;&gt;"Yes",F815&lt;&gt;"No")),"Use Yes or No","OK")))))))</f>
      </c>
    </row>
    <row r="816">
      <c r="G816" s="4">
        <f>IF(A816="","",IF(COUNTIF(Venues!$A$2:$A$201,A816)=0,"Unknown venue code",IF(OR(B816="",D816="",E816="",F816=""),"Missing details",IF(LEN(B816)&gt;80,"Name too long",IF(COUNTIFS($A$2:$A$1001,A816,$B$2:$B$1001,B816)&gt;1,"Duplicate court name",IF(AND(C816&lt;&gt;"",C816&lt;&gt;"Hard",C816&lt;&gt;"Synthetic",C816&lt;&gt;"Other",C816&lt;&gt;"Not sure"),"Unknown surface",IF(OR(AND(D816&lt;&gt;"Yes",D816&lt;&gt;"No"),AND(E816&lt;&gt;"Yes",E816&lt;&gt;"No"),AND(F816&lt;&gt;"Yes",F816&lt;&gt;"No")),"Use Yes or No","OK")))))))</f>
      </c>
    </row>
    <row r="817">
      <c r="G817" s="4">
        <f>IF(A817="","",IF(COUNTIF(Venues!$A$2:$A$201,A817)=0,"Unknown venue code",IF(OR(B817="",D817="",E817="",F817=""),"Missing details",IF(LEN(B817)&gt;80,"Name too long",IF(COUNTIFS($A$2:$A$1001,A817,$B$2:$B$1001,B817)&gt;1,"Duplicate court name",IF(AND(C817&lt;&gt;"",C817&lt;&gt;"Hard",C817&lt;&gt;"Synthetic",C817&lt;&gt;"Other",C817&lt;&gt;"Not sure"),"Unknown surface",IF(OR(AND(D817&lt;&gt;"Yes",D817&lt;&gt;"No"),AND(E817&lt;&gt;"Yes",E817&lt;&gt;"No"),AND(F817&lt;&gt;"Yes",F817&lt;&gt;"No")),"Use Yes or No","OK")))))))</f>
      </c>
    </row>
    <row r="818">
      <c r="G818" s="4">
        <f>IF(A818="","",IF(COUNTIF(Venues!$A$2:$A$201,A818)=0,"Unknown venue code",IF(OR(B818="",D818="",E818="",F818=""),"Missing details",IF(LEN(B818)&gt;80,"Name too long",IF(COUNTIFS($A$2:$A$1001,A818,$B$2:$B$1001,B818)&gt;1,"Duplicate court name",IF(AND(C818&lt;&gt;"",C818&lt;&gt;"Hard",C818&lt;&gt;"Synthetic",C818&lt;&gt;"Other",C818&lt;&gt;"Not sure"),"Unknown surface",IF(OR(AND(D818&lt;&gt;"Yes",D818&lt;&gt;"No"),AND(E818&lt;&gt;"Yes",E818&lt;&gt;"No"),AND(F818&lt;&gt;"Yes",F818&lt;&gt;"No")),"Use Yes or No","OK")))))))</f>
      </c>
    </row>
    <row r="819">
      <c r="G819" s="4">
        <f>IF(A819="","",IF(COUNTIF(Venues!$A$2:$A$201,A819)=0,"Unknown venue code",IF(OR(B819="",D819="",E819="",F819=""),"Missing details",IF(LEN(B819)&gt;80,"Name too long",IF(COUNTIFS($A$2:$A$1001,A819,$B$2:$B$1001,B819)&gt;1,"Duplicate court name",IF(AND(C819&lt;&gt;"",C819&lt;&gt;"Hard",C819&lt;&gt;"Synthetic",C819&lt;&gt;"Other",C819&lt;&gt;"Not sure"),"Unknown surface",IF(OR(AND(D819&lt;&gt;"Yes",D819&lt;&gt;"No"),AND(E819&lt;&gt;"Yes",E819&lt;&gt;"No"),AND(F819&lt;&gt;"Yes",F819&lt;&gt;"No")),"Use Yes or No","OK")))))))</f>
      </c>
    </row>
    <row r="820">
      <c r="G820" s="4">
        <f>IF(A820="","",IF(COUNTIF(Venues!$A$2:$A$201,A820)=0,"Unknown venue code",IF(OR(B820="",D820="",E820="",F820=""),"Missing details",IF(LEN(B820)&gt;80,"Name too long",IF(COUNTIFS($A$2:$A$1001,A820,$B$2:$B$1001,B820)&gt;1,"Duplicate court name",IF(AND(C820&lt;&gt;"",C820&lt;&gt;"Hard",C820&lt;&gt;"Synthetic",C820&lt;&gt;"Other",C820&lt;&gt;"Not sure"),"Unknown surface",IF(OR(AND(D820&lt;&gt;"Yes",D820&lt;&gt;"No"),AND(E820&lt;&gt;"Yes",E820&lt;&gt;"No"),AND(F820&lt;&gt;"Yes",F820&lt;&gt;"No")),"Use Yes or No","OK")))))))</f>
      </c>
    </row>
    <row r="821">
      <c r="G821" s="4">
        <f>IF(A821="","",IF(COUNTIF(Venues!$A$2:$A$201,A821)=0,"Unknown venue code",IF(OR(B821="",D821="",E821="",F821=""),"Missing details",IF(LEN(B821)&gt;80,"Name too long",IF(COUNTIFS($A$2:$A$1001,A821,$B$2:$B$1001,B821)&gt;1,"Duplicate court name",IF(AND(C821&lt;&gt;"",C821&lt;&gt;"Hard",C821&lt;&gt;"Synthetic",C821&lt;&gt;"Other",C821&lt;&gt;"Not sure"),"Unknown surface",IF(OR(AND(D821&lt;&gt;"Yes",D821&lt;&gt;"No"),AND(E821&lt;&gt;"Yes",E821&lt;&gt;"No"),AND(F821&lt;&gt;"Yes",F821&lt;&gt;"No")),"Use Yes or No","OK")))))))</f>
      </c>
    </row>
    <row r="822">
      <c r="G822" s="4">
        <f>IF(A822="","",IF(COUNTIF(Venues!$A$2:$A$201,A822)=0,"Unknown venue code",IF(OR(B822="",D822="",E822="",F822=""),"Missing details",IF(LEN(B822)&gt;80,"Name too long",IF(COUNTIFS($A$2:$A$1001,A822,$B$2:$B$1001,B822)&gt;1,"Duplicate court name",IF(AND(C822&lt;&gt;"",C822&lt;&gt;"Hard",C822&lt;&gt;"Synthetic",C822&lt;&gt;"Other",C822&lt;&gt;"Not sure"),"Unknown surface",IF(OR(AND(D822&lt;&gt;"Yes",D822&lt;&gt;"No"),AND(E822&lt;&gt;"Yes",E822&lt;&gt;"No"),AND(F822&lt;&gt;"Yes",F822&lt;&gt;"No")),"Use Yes or No","OK")))))))</f>
      </c>
    </row>
    <row r="823">
      <c r="G823" s="4">
        <f>IF(A823="","",IF(COUNTIF(Venues!$A$2:$A$201,A823)=0,"Unknown venue code",IF(OR(B823="",D823="",E823="",F823=""),"Missing details",IF(LEN(B823)&gt;80,"Name too long",IF(COUNTIFS($A$2:$A$1001,A823,$B$2:$B$1001,B823)&gt;1,"Duplicate court name",IF(AND(C823&lt;&gt;"",C823&lt;&gt;"Hard",C823&lt;&gt;"Synthetic",C823&lt;&gt;"Other",C823&lt;&gt;"Not sure"),"Unknown surface",IF(OR(AND(D823&lt;&gt;"Yes",D823&lt;&gt;"No"),AND(E823&lt;&gt;"Yes",E823&lt;&gt;"No"),AND(F823&lt;&gt;"Yes",F823&lt;&gt;"No")),"Use Yes or No","OK")))))))</f>
      </c>
    </row>
    <row r="824">
      <c r="G824" s="4">
        <f>IF(A824="","",IF(COUNTIF(Venues!$A$2:$A$201,A824)=0,"Unknown venue code",IF(OR(B824="",D824="",E824="",F824=""),"Missing details",IF(LEN(B824)&gt;80,"Name too long",IF(COUNTIFS($A$2:$A$1001,A824,$B$2:$B$1001,B824)&gt;1,"Duplicate court name",IF(AND(C824&lt;&gt;"",C824&lt;&gt;"Hard",C824&lt;&gt;"Synthetic",C824&lt;&gt;"Other",C824&lt;&gt;"Not sure"),"Unknown surface",IF(OR(AND(D824&lt;&gt;"Yes",D824&lt;&gt;"No"),AND(E824&lt;&gt;"Yes",E824&lt;&gt;"No"),AND(F824&lt;&gt;"Yes",F824&lt;&gt;"No")),"Use Yes or No","OK")))))))</f>
      </c>
    </row>
    <row r="825">
      <c r="G825" s="4">
        <f>IF(A825="","",IF(COUNTIF(Venues!$A$2:$A$201,A825)=0,"Unknown venue code",IF(OR(B825="",D825="",E825="",F825=""),"Missing details",IF(LEN(B825)&gt;80,"Name too long",IF(COUNTIFS($A$2:$A$1001,A825,$B$2:$B$1001,B825)&gt;1,"Duplicate court name",IF(AND(C825&lt;&gt;"",C825&lt;&gt;"Hard",C825&lt;&gt;"Synthetic",C825&lt;&gt;"Other",C825&lt;&gt;"Not sure"),"Unknown surface",IF(OR(AND(D825&lt;&gt;"Yes",D825&lt;&gt;"No"),AND(E825&lt;&gt;"Yes",E825&lt;&gt;"No"),AND(F825&lt;&gt;"Yes",F825&lt;&gt;"No")),"Use Yes or No","OK")))))))</f>
      </c>
    </row>
    <row r="826">
      <c r="G826" s="4">
        <f>IF(A826="","",IF(COUNTIF(Venues!$A$2:$A$201,A826)=0,"Unknown venue code",IF(OR(B826="",D826="",E826="",F826=""),"Missing details",IF(LEN(B826)&gt;80,"Name too long",IF(COUNTIFS($A$2:$A$1001,A826,$B$2:$B$1001,B826)&gt;1,"Duplicate court name",IF(AND(C826&lt;&gt;"",C826&lt;&gt;"Hard",C826&lt;&gt;"Synthetic",C826&lt;&gt;"Other",C826&lt;&gt;"Not sure"),"Unknown surface",IF(OR(AND(D826&lt;&gt;"Yes",D826&lt;&gt;"No"),AND(E826&lt;&gt;"Yes",E826&lt;&gt;"No"),AND(F826&lt;&gt;"Yes",F826&lt;&gt;"No")),"Use Yes or No","OK")))))))</f>
      </c>
    </row>
    <row r="827">
      <c r="G827" s="4">
        <f>IF(A827="","",IF(COUNTIF(Venues!$A$2:$A$201,A827)=0,"Unknown venue code",IF(OR(B827="",D827="",E827="",F827=""),"Missing details",IF(LEN(B827)&gt;80,"Name too long",IF(COUNTIFS($A$2:$A$1001,A827,$B$2:$B$1001,B827)&gt;1,"Duplicate court name",IF(AND(C827&lt;&gt;"",C827&lt;&gt;"Hard",C827&lt;&gt;"Synthetic",C827&lt;&gt;"Other",C827&lt;&gt;"Not sure"),"Unknown surface",IF(OR(AND(D827&lt;&gt;"Yes",D827&lt;&gt;"No"),AND(E827&lt;&gt;"Yes",E827&lt;&gt;"No"),AND(F827&lt;&gt;"Yes",F827&lt;&gt;"No")),"Use Yes or No","OK")))))))</f>
      </c>
    </row>
    <row r="828">
      <c r="G828" s="4">
        <f>IF(A828="","",IF(COUNTIF(Venues!$A$2:$A$201,A828)=0,"Unknown venue code",IF(OR(B828="",D828="",E828="",F828=""),"Missing details",IF(LEN(B828)&gt;80,"Name too long",IF(COUNTIFS($A$2:$A$1001,A828,$B$2:$B$1001,B828)&gt;1,"Duplicate court name",IF(AND(C828&lt;&gt;"",C828&lt;&gt;"Hard",C828&lt;&gt;"Synthetic",C828&lt;&gt;"Other",C828&lt;&gt;"Not sure"),"Unknown surface",IF(OR(AND(D828&lt;&gt;"Yes",D828&lt;&gt;"No"),AND(E828&lt;&gt;"Yes",E828&lt;&gt;"No"),AND(F828&lt;&gt;"Yes",F828&lt;&gt;"No")),"Use Yes or No","OK")))))))</f>
      </c>
    </row>
    <row r="829">
      <c r="G829" s="4">
        <f>IF(A829="","",IF(COUNTIF(Venues!$A$2:$A$201,A829)=0,"Unknown venue code",IF(OR(B829="",D829="",E829="",F829=""),"Missing details",IF(LEN(B829)&gt;80,"Name too long",IF(COUNTIFS($A$2:$A$1001,A829,$B$2:$B$1001,B829)&gt;1,"Duplicate court name",IF(AND(C829&lt;&gt;"",C829&lt;&gt;"Hard",C829&lt;&gt;"Synthetic",C829&lt;&gt;"Other",C829&lt;&gt;"Not sure"),"Unknown surface",IF(OR(AND(D829&lt;&gt;"Yes",D829&lt;&gt;"No"),AND(E829&lt;&gt;"Yes",E829&lt;&gt;"No"),AND(F829&lt;&gt;"Yes",F829&lt;&gt;"No")),"Use Yes or No","OK")))))))</f>
      </c>
    </row>
    <row r="830">
      <c r="G830" s="4">
        <f>IF(A830="","",IF(COUNTIF(Venues!$A$2:$A$201,A830)=0,"Unknown venue code",IF(OR(B830="",D830="",E830="",F830=""),"Missing details",IF(LEN(B830)&gt;80,"Name too long",IF(COUNTIFS($A$2:$A$1001,A830,$B$2:$B$1001,B830)&gt;1,"Duplicate court name",IF(AND(C830&lt;&gt;"",C830&lt;&gt;"Hard",C830&lt;&gt;"Synthetic",C830&lt;&gt;"Other",C830&lt;&gt;"Not sure"),"Unknown surface",IF(OR(AND(D830&lt;&gt;"Yes",D830&lt;&gt;"No"),AND(E830&lt;&gt;"Yes",E830&lt;&gt;"No"),AND(F830&lt;&gt;"Yes",F830&lt;&gt;"No")),"Use Yes or No","OK")))))))</f>
      </c>
    </row>
    <row r="831">
      <c r="G831" s="4">
        <f>IF(A831="","",IF(COUNTIF(Venues!$A$2:$A$201,A831)=0,"Unknown venue code",IF(OR(B831="",D831="",E831="",F831=""),"Missing details",IF(LEN(B831)&gt;80,"Name too long",IF(COUNTIFS($A$2:$A$1001,A831,$B$2:$B$1001,B831)&gt;1,"Duplicate court name",IF(AND(C831&lt;&gt;"",C831&lt;&gt;"Hard",C831&lt;&gt;"Synthetic",C831&lt;&gt;"Other",C831&lt;&gt;"Not sure"),"Unknown surface",IF(OR(AND(D831&lt;&gt;"Yes",D831&lt;&gt;"No"),AND(E831&lt;&gt;"Yes",E831&lt;&gt;"No"),AND(F831&lt;&gt;"Yes",F831&lt;&gt;"No")),"Use Yes or No","OK")))))))</f>
      </c>
    </row>
    <row r="832">
      <c r="G832" s="4">
        <f>IF(A832="","",IF(COUNTIF(Venues!$A$2:$A$201,A832)=0,"Unknown venue code",IF(OR(B832="",D832="",E832="",F832=""),"Missing details",IF(LEN(B832)&gt;80,"Name too long",IF(COUNTIFS($A$2:$A$1001,A832,$B$2:$B$1001,B832)&gt;1,"Duplicate court name",IF(AND(C832&lt;&gt;"",C832&lt;&gt;"Hard",C832&lt;&gt;"Synthetic",C832&lt;&gt;"Other",C832&lt;&gt;"Not sure"),"Unknown surface",IF(OR(AND(D832&lt;&gt;"Yes",D832&lt;&gt;"No"),AND(E832&lt;&gt;"Yes",E832&lt;&gt;"No"),AND(F832&lt;&gt;"Yes",F832&lt;&gt;"No")),"Use Yes or No","OK")))))))</f>
      </c>
    </row>
    <row r="833">
      <c r="G833" s="4">
        <f>IF(A833="","",IF(COUNTIF(Venues!$A$2:$A$201,A833)=0,"Unknown venue code",IF(OR(B833="",D833="",E833="",F833=""),"Missing details",IF(LEN(B833)&gt;80,"Name too long",IF(COUNTIFS($A$2:$A$1001,A833,$B$2:$B$1001,B833)&gt;1,"Duplicate court name",IF(AND(C833&lt;&gt;"",C833&lt;&gt;"Hard",C833&lt;&gt;"Synthetic",C833&lt;&gt;"Other",C833&lt;&gt;"Not sure"),"Unknown surface",IF(OR(AND(D833&lt;&gt;"Yes",D833&lt;&gt;"No"),AND(E833&lt;&gt;"Yes",E833&lt;&gt;"No"),AND(F833&lt;&gt;"Yes",F833&lt;&gt;"No")),"Use Yes or No","OK")))))))</f>
      </c>
    </row>
    <row r="834">
      <c r="G834" s="4">
        <f>IF(A834="","",IF(COUNTIF(Venues!$A$2:$A$201,A834)=0,"Unknown venue code",IF(OR(B834="",D834="",E834="",F834=""),"Missing details",IF(LEN(B834)&gt;80,"Name too long",IF(COUNTIFS($A$2:$A$1001,A834,$B$2:$B$1001,B834)&gt;1,"Duplicate court name",IF(AND(C834&lt;&gt;"",C834&lt;&gt;"Hard",C834&lt;&gt;"Synthetic",C834&lt;&gt;"Other",C834&lt;&gt;"Not sure"),"Unknown surface",IF(OR(AND(D834&lt;&gt;"Yes",D834&lt;&gt;"No"),AND(E834&lt;&gt;"Yes",E834&lt;&gt;"No"),AND(F834&lt;&gt;"Yes",F834&lt;&gt;"No")),"Use Yes or No","OK")))))))</f>
      </c>
    </row>
    <row r="835">
      <c r="G835" s="4">
        <f>IF(A835="","",IF(COUNTIF(Venues!$A$2:$A$201,A835)=0,"Unknown venue code",IF(OR(B835="",D835="",E835="",F835=""),"Missing details",IF(LEN(B835)&gt;80,"Name too long",IF(COUNTIFS($A$2:$A$1001,A835,$B$2:$B$1001,B835)&gt;1,"Duplicate court name",IF(AND(C835&lt;&gt;"",C835&lt;&gt;"Hard",C835&lt;&gt;"Synthetic",C835&lt;&gt;"Other",C835&lt;&gt;"Not sure"),"Unknown surface",IF(OR(AND(D835&lt;&gt;"Yes",D835&lt;&gt;"No"),AND(E835&lt;&gt;"Yes",E835&lt;&gt;"No"),AND(F835&lt;&gt;"Yes",F835&lt;&gt;"No")),"Use Yes or No","OK")))))))</f>
      </c>
    </row>
    <row r="836">
      <c r="G836" s="4">
        <f>IF(A836="","",IF(COUNTIF(Venues!$A$2:$A$201,A836)=0,"Unknown venue code",IF(OR(B836="",D836="",E836="",F836=""),"Missing details",IF(LEN(B836)&gt;80,"Name too long",IF(COUNTIFS($A$2:$A$1001,A836,$B$2:$B$1001,B836)&gt;1,"Duplicate court name",IF(AND(C836&lt;&gt;"",C836&lt;&gt;"Hard",C836&lt;&gt;"Synthetic",C836&lt;&gt;"Other",C836&lt;&gt;"Not sure"),"Unknown surface",IF(OR(AND(D836&lt;&gt;"Yes",D836&lt;&gt;"No"),AND(E836&lt;&gt;"Yes",E836&lt;&gt;"No"),AND(F836&lt;&gt;"Yes",F836&lt;&gt;"No")),"Use Yes or No","OK")))))))</f>
      </c>
    </row>
    <row r="837">
      <c r="G837" s="4">
        <f>IF(A837="","",IF(COUNTIF(Venues!$A$2:$A$201,A837)=0,"Unknown venue code",IF(OR(B837="",D837="",E837="",F837=""),"Missing details",IF(LEN(B837)&gt;80,"Name too long",IF(COUNTIFS($A$2:$A$1001,A837,$B$2:$B$1001,B837)&gt;1,"Duplicate court name",IF(AND(C837&lt;&gt;"",C837&lt;&gt;"Hard",C837&lt;&gt;"Synthetic",C837&lt;&gt;"Other",C837&lt;&gt;"Not sure"),"Unknown surface",IF(OR(AND(D837&lt;&gt;"Yes",D837&lt;&gt;"No"),AND(E837&lt;&gt;"Yes",E837&lt;&gt;"No"),AND(F837&lt;&gt;"Yes",F837&lt;&gt;"No")),"Use Yes or No","OK")))))))</f>
      </c>
    </row>
    <row r="838">
      <c r="G838" s="4">
        <f>IF(A838="","",IF(COUNTIF(Venues!$A$2:$A$201,A838)=0,"Unknown venue code",IF(OR(B838="",D838="",E838="",F838=""),"Missing details",IF(LEN(B838)&gt;80,"Name too long",IF(COUNTIFS($A$2:$A$1001,A838,$B$2:$B$1001,B838)&gt;1,"Duplicate court name",IF(AND(C838&lt;&gt;"",C838&lt;&gt;"Hard",C838&lt;&gt;"Synthetic",C838&lt;&gt;"Other",C838&lt;&gt;"Not sure"),"Unknown surface",IF(OR(AND(D838&lt;&gt;"Yes",D838&lt;&gt;"No"),AND(E838&lt;&gt;"Yes",E838&lt;&gt;"No"),AND(F838&lt;&gt;"Yes",F838&lt;&gt;"No")),"Use Yes or No","OK")))))))</f>
      </c>
    </row>
    <row r="839">
      <c r="G839" s="4">
        <f>IF(A839="","",IF(COUNTIF(Venues!$A$2:$A$201,A839)=0,"Unknown venue code",IF(OR(B839="",D839="",E839="",F839=""),"Missing details",IF(LEN(B839)&gt;80,"Name too long",IF(COUNTIFS($A$2:$A$1001,A839,$B$2:$B$1001,B839)&gt;1,"Duplicate court name",IF(AND(C839&lt;&gt;"",C839&lt;&gt;"Hard",C839&lt;&gt;"Synthetic",C839&lt;&gt;"Other",C839&lt;&gt;"Not sure"),"Unknown surface",IF(OR(AND(D839&lt;&gt;"Yes",D839&lt;&gt;"No"),AND(E839&lt;&gt;"Yes",E839&lt;&gt;"No"),AND(F839&lt;&gt;"Yes",F839&lt;&gt;"No")),"Use Yes or No","OK")))))))</f>
      </c>
    </row>
    <row r="840">
      <c r="G840" s="4">
        <f>IF(A840="","",IF(COUNTIF(Venues!$A$2:$A$201,A840)=0,"Unknown venue code",IF(OR(B840="",D840="",E840="",F840=""),"Missing details",IF(LEN(B840)&gt;80,"Name too long",IF(COUNTIFS($A$2:$A$1001,A840,$B$2:$B$1001,B840)&gt;1,"Duplicate court name",IF(AND(C840&lt;&gt;"",C840&lt;&gt;"Hard",C840&lt;&gt;"Synthetic",C840&lt;&gt;"Other",C840&lt;&gt;"Not sure"),"Unknown surface",IF(OR(AND(D840&lt;&gt;"Yes",D840&lt;&gt;"No"),AND(E840&lt;&gt;"Yes",E840&lt;&gt;"No"),AND(F840&lt;&gt;"Yes",F840&lt;&gt;"No")),"Use Yes or No","OK")))))))</f>
      </c>
    </row>
    <row r="841">
      <c r="G841" s="4">
        <f>IF(A841="","",IF(COUNTIF(Venues!$A$2:$A$201,A841)=0,"Unknown venue code",IF(OR(B841="",D841="",E841="",F841=""),"Missing details",IF(LEN(B841)&gt;80,"Name too long",IF(COUNTIFS($A$2:$A$1001,A841,$B$2:$B$1001,B841)&gt;1,"Duplicate court name",IF(AND(C841&lt;&gt;"",C841&lt;&gt;"Hard",C841&lt;&gt;"Synthetic",C841&lt;&gt;"Other",C841&lt;&gt;"Not sure"),"Unknown surface",IF(OR(AND(D841&lt;&gt;"Yes",D841&lt;&gt;"No"),AND(E841&lt;&gt;"Yes",E841&lt;&gt;"No"),AND(F841&lt;&gt;"Yes",F841&lt;&gt;"No")),"Use Yes or No","OK")))))))</f>
      </c>
    </row>
    <row r="842">
      <c r="G842" s="4">
        <f>IF(A842="","",IF(COUNTIF(Venues!$A$2:$A$201,A842)=0,"Unknown venue code",IF(OR(B842="",D842="",E842="",F842=""),"Missing details",IF(LEN(B842)&gt;80,"Name too long",IF(COUNTIFS($A$2:$A$1001,A842,$B$2:$B$1001,B842)&gt;1,"Duplicate court name",IF(AND(C842&lt;&gt;"",C842&lt;&gt;"Hard",C842&lt;&gt;"Synthetic",C842&lt;&gt;"Other",C842&lt;&gt;"Not sure"),"Unknown surface",IF(OR(AND(D842&lt;&gt;"Yes",D842&lt;&gt;"No"),AND(E842&lt;&gt;"Yes",E842&lt;&gt;"No"),AND(F842&lt;&gt;"Yes",F842&lt;&gt;"No")),"Use Yes or No","OK")))))))</f>
      </c>
    </row>
    <row r="843">
      <c r="G843" s="4">
        <f>IF(A843="","",IF(COUNTIF(Venues!$A$2:$A$201,A843)=0,"Unknown venue code",IF(OR(B843="",D843="",E843="",F843=""),"Missing details",IF(LEN(B843)&gt;80,"Name too long",IF(COUNTIFS($A$2:$A$1001,A843,$B$2:$B$1001,B843)&gt;1,"Duplicate court name",IF(AND(C843&lt;&gt;"",C843&lt;&gt;"Hard",C843&lt;&gt;"Synthetic",C843&lt;&gt;"Other",C843&lt;&gt;"Not sure"),"Unknown surface",IF(OR(AND(D843&lt;&gt;"Yes",D843&lt;&gt;"No"),AND(E843&lt;&gt;"Yes",E843&lt;&gt;"No"),AND(F843&lt;&gt;"Yes",F843&lt;&gt;"No")),"Use Yes or No","OK")))))))</f>
      </c>
    </row>
    <row r="844">
      <c r="G844" s="4">
        <f>IF(A844="","",IF(COUNTIF(Venues!$A$2:$A$201,A844)=0,"Unknown venue code",IF(OR(B844="",D844="",E844="",F844=""),"Missing details",IF(LEN(B844)&gt;80,"Name too long",IF(COUNTIFS($A$2:$A$1001,A844,$B$2:$B$1001,B844)&gt;1,"Duplicate court name",IF(AND(C844&lt;&gt;"",C844&lt;&gt;"Hard",C844&lt;&gt;"Synthetic",C844&lt;&gt;"Other",C844&lt;&gt;"Not sure"),"Unknown surface",IF(OR(AND(D844&lt;&gt;"Yes",D844&lt;&gt;"No"),AND(E844&lt;&gt;"Yes",E844&lt;&gt;"No"),AND(F844&lt;&gt;"Yes",F844&lt;&gt;"No")),"Use Yes or No","OK")))))))</f>
      </c>
    </row>
    <row r="845">
      <c r="G845" s="4">
        <f>IF(A845="","",IF(COUNTIF(Venues!$A$2:$A$201,A845)=0,"Unknown venue code",IF(OR(B845="",D845="",E845="",F845=""),"Missing details",IF(LEN(B845)&gt;80,"Name too long",IF(COUNTIFS($A$2:$A$1001,A845,$B$2:$B$1001,B845)&gt;1,"Duplicate court name",IF(AND(C845&lt;&gt;"",C845&lt;&gt;"Hard",C845&lt;&gt;"Synthetic",C845&lt;&gt;"Other",C845&lt;&gt;"Not sure"),"Unknown surface",IF(OR(AND(D845&lt;&gt;"Yes",D845&lt;&gt;"No"),AND(E845&lt;&gt;"Yes",E845&lt;&gt;"No"),AND(F845&lt;&gt;"Yes",F845&lt;&gt;"No")),"Use Yes or No","OK")))))))</f>
      </c>
    </row>
    <row r="846">
      <c r="G846" s="4">
        <f>IF(A846="","",IF(COUNTIF(Venues!$A$2:$A$201,A846)=0,"Unknown venue code",IF(OR(B846="",D846="",E846="",F846=""),"Missing details",IF(LEN(B846)&gt;80,"Name too long",IF(COUNTIFS($A$2:$A$1001,A846,$B$2:$B$1001,B846)&gt;1,"Duplicate court name",IF(AND(C846&lt;&gt;"",C846&lt;&gt;"Hard",C846&lt;&gt;"Synthetic",C846&lt;&gt;"Other",C846&lt;&gt;"Not sure"),"Unknown surface",IF(OR(AND(D846&lt;&gt;"Yes",D846&lt;&gt;"No"),AND(E846&lt;&gt;"Yes",E846&lt;&gt;"No"),AND(F846&lt;&gt;"Yes",F846&lt;&gt;"No")),"Use Yes or No","OK")))))))</f>
      </c>
    </row>
    <row r="847">
      <c r="G847" s="4">
        <f>IF(A847="","",IF(COUNTIF(Venues!$A$2:$A$201,A847)=0,"Unknown venue code",IF(OR(B847="",D847="",E847="",F847=""),"Missing details",IF(LEN(B847)&gt;80,"Name too long",IF(COUNTIFS($A$2:$A$1001,A847,$B$2:$B$1001,B847)&gt;1,"Duplicate court name",IF(AND(C847&lt;&gt;"",C847&lt;&gt;"Hard",C847&lt;&gt;"Synthetic",C847&lt;&gt;"Other",C847&lt;&gt;"Not sure"),"Unknown surface",IF(OR(AND(D847&lt;&gt;"Yes",D847&lt;&gt;"No"),AND(E847&lt;&gt;"Yes",E847&lt;&gt;"No"),AND(F847&lt;&gt;"Yes",F847&lt;&gt;"No")),"Use Yes or No","OK")))))))</f>
      </c>
    </row>
    <row r="848">
      <c r="G848" s="4">
        <f>IF(A848="","",IF(COUNTIF(Venues!$A$2:$A$201,A848)=0,"Unknown venue code",IF(OR(B848="",D848="",E848="",F848=""),"Missing details",IF(LEN(B848)&gt;80,"Name too long",IF(COUNTIFS($A$2:$A$1001,A848,$B$2:$B$1001,B848)&gt;1,"Duplicate court name",IF(AND(C848&lt;&gt;"",C848&lt;&gt;"Hard",C848&lt;&gt;"Synthetic",C848&lt;&gt;"Other",C848&lt;&gt;"Not sure"),"Unknown surface",IF(OR(AND(D848&lt;&gt;"Yes",D848&lt;&gt;"No"),AND(E848&lt;&gt;"Yes",E848&lt;&gt;"No"),AND(F848&lt;&gt;"Yes",F848&lt;&gt;"No")),"Use Yes or No","OK")))))))</f>
      </c>
    </row>
    <row r="849">
      <c r="G849" s="4">
        <f>IF(A849="","",IF(COUNTIF(Venues!$A$2:$A$201,A849)=0,"Unknown venue code",IF(OR(B849="",D849="",E849="",F849=""),"Missing details",IF(LEN(B849)&gt;80,"Name too long",IF(COUNTIFS($A$2:$A$1001,A849,$B$2:$B$1001,B849)&gt;1,"Duplicate court name",IF(AND(C849&lt;&gt;"",C849&lt;&gt;"Hard",C849&lt;&gt;"Synthetic",C849&lt;&gt;"Other",C849&lt;&gt;"Not sure"),"Unknown surface",IF(OR(AND(D849&lt;&gt;"Yes",D849&lt;&gt;"No"),AND(E849&lt;&gt;"Yes",E849&lt;&gt;"No"),AND(F849&lt;&gt;"Yes",F849&lt;&gt;"No")),"Use Yes or No","OK")))))))</f>
      </c>
    </row>
    <row r="850">
      <c r="G850" s="4">
        <f>IF(A850="","",IF(COUNTIF(Venues!$A$2:$A$201,A850)=0,"Unknown venue code",IF(OR(B850="",D850="",E850="",F850=""),"Missing details",IF(LEN(B850)&gt;80,"Name too long",IF(COUNTIFS($A$2:$A$1001,A850,$B$2:$B$1001,B850)&gt;1,"Duplicate court name",IF(AND(C850&lt;&gt;"",C850&lt;&gt;"Hard",C850&lt;&gt;"Synthetic",C850&lt;&gt;"Other",C850&lt;&gt;"Not sure"),"Unknown surface",IF(OR(AND(D850&lt;&gt;"Yes",D850&lt;&gt;"No"),AND(E850&lt;&gt;"Yes",E850&lt;&gt;"No"),AND(F850&lt;&gt;"Yes",F850&lt;&gt;"No")),"Use Yes or No","OK")))))))</f>
      </c>
    </row>
    <row r="851">
      <c r="G851" s="4">
        <f>IF(A851="","",IF(COUNTIF(Venues!$A$2:$A$201,A851)=0,"Unknown venue code",IF(OR(B851="",D851="",E851="",F851=""),"Missing details",IF(LEN(B851)&gt;80,"Name too long",IF(COUNTIFS($A$2:$A$1001,A851,$B$2:$B$1001,B851)&gt;1,"Duplicate court name",IF(AND(C851&lt;&gt;"",C851&lt;&gt;"Hard",C851&lt;&gt;"Synthetic",C851&lt;&gt;"Other",C851&lt;&gt;"Not sure"),"Unknown surface",IF(OR(AND(D851&lt;&gt;"Yes",D851&lt;&gt;"No"),AND(E851&lt;&gt;"Yes",E851&lt;&gt;"No"),AND(F851&lt;&gt;"Yes",F851&lt;&gt;"No")),"Use Yes or No","OK")))))))</f>
      </c>
    </row>
    <row r="852">
      <c r="G852" s="4">
        <f>IF(A852="","",IF(COUNTIF(Venues!$A$2:$A$201,A852)=0,"Unknown venue code",IF(OR(B852="",D852="",E852="",F852=""),"Missing details",IF(LEN(B852)&gt;80,"Name too long",IF(COUNTIFS($A$2:$A$1001,A852,$B$2:$B$1001,B852)&gt;1,"Duplicate court name",IF(AND(C852&lt;&gt;"",C852&lt;&gt;"Hard",C852&lt;&gt;"Synthetic",C852&lt;&gt;"Other",C852&lt;&gt;"Not sure"),"Unknown surface",IF(OR(AND(D852&lt;&gt;"Yes",D852&lt;&gt;"No"),AND(E852&lt;&gt;"Yes",E852&lt;&gt;"No"),AND(F852&lt;&gt;"Yes",F852&lt;&gt;"No")),"Use Yes or No","OK")))))))</f>
      </c>
    </row>
    <row r="853">
      <c r="G853" s="4">
        <f>IF(A853="","",IF(COUNTIF(Venues!$A$2:$A$201,A853)=0,"Unknown venue code",IF(OR(B853="",D853="",E853="",F853=""),"Missing details",IF(LEN(B853)&gt;80,"Name too long",IF(COUNTIFS($A$2:$A$1001,A853,$B$2:$B$1001,B853)&gt;1,"Duplicate court name",IF(AND(C853&lt;&gt;"",C853&lt;&gt;"Hard",C853&lt;&gt;"Synthetic",C853&lt;&gt;"Other",C853&lt;&gt;"Not sure"),"Unknown surface",IF(OR(AND(D853&lt;&gt;"Yes",D853&lt;&gt;"No"),AND(E853&lt;&gt;"Yes",E853&lt;&gt;"No"),AND(F853&lt;&gt;"Yes",F853&lt;&gt;"No")),"Use Yes or No","OK")))))))</f>
      </c>
    </row>
    <row r="854">
      <c r="G854" s="4">
        <f>IF(A854="","",IF(COUNTIF(Venues!$A$2:$A$201,A854)=0,"Unknown venue code",IF(OR(B854="",D854="",E854="",F854=""),"Missing details",IF(LEN(B854)&gt;80,"Name too long",IF(COUNTIFS($A$2:$A$1001,A854,$B$2:$B$1001,B854)&gt;1,"Duplicate court name",IF(AND(C854&lt;&gt;"",C854&lt;&gt;"Hard",C854&lt;&gt;"Synthetic",C854&lt;&gt;"Other",C854&lt;&gt;"Not sure"),"Unknown surface",IF(OR(AND(D854&lt;&gt;"Yes",D854&lt;&gt;"No"),AND(E854&lt;&gt;"Yes",E854&lt;&gt;"No"),AND(F854&lt;&gt;"Yes",F854&lt;&gt;"No")),"Use Yes or No","OK")))))))</f>
      </c>
    </row>
    <row r="855">
      <c r="G855" s="4">
        <f>IF(A855="","",IF(COUNTIF(Venues!$A$2:$A$201,A855)=0,"Unknown venue code",IF(OR(B855="",D855="",E855="",F855=""),"Missing details",IF(LEN(B855)&gt;80,"Name too long",IF(COUNTIFS($A$2:$A$1001,A855,$B$2:$B$1001,B855)&gt;1,"Duplicate court name",IF(AND(C855&lt;&gt;"",C855&lt;&gt;"Hard",C855&lt;&gt;"Synthetic",C855&lt;&gt;"Other",C855&lt;&gt;"Not sure"),"Unknown surface",IF(OR(AND(D855&lt;&gt;"Yes",D855&lt;&gt;"No"),AND(E855&lt;&gt;"Yes",E855&lt;&gt;"No"),AND(F855&lt;&gt;"Yes",F855&lt;&gt;"No")),"Use Yes or No","OK")))))))</f>
      </c>
    </row>
    <row r="856">
      <c r="G856" s="4">
        <f>IF(A856="","",IF(COUNTIF(Venues!$A$2:$A$201,A856)=0,"Unknown venue code",IF(OR(B856="",D856="",E856="",F856=""),"Missing details",IF(LEN(B856)&gt;80,"Name too long",IF(COUNTIFS($A$2:$A$1001,A856,$B$2:$B$1001,B856)&gt;1,"Duplicate court name",IF(AND(C856&lt;&gt;"",C856&lt;&gt;"Hard",C856&lt;&gt;"Synthetic",C856&lt;&gt;"Other",C856&lt;&gt;"Not sure"),"Unknown surface",IF(OR(AND(D856&lt;&gt;"Yes",D856&lt;&gt;"No"),AND(E856&lt;&gt;"Yes",E856&lt;&gt;"No"),AND(F856&lt;&gt;"Yes",F856&lt;&gt;"No")),"Use Yes or No","OK")))))))</f>
      </c>
    </row>
    <row r="857">
      <c r="G857" s="4">
        <f>IF(A857="","",IF(COUNTIF(Venues!$A$2:$A$201,A857)=0,"Unknown venue code",IF(OR(B857="",D857="",E857="",F857=""),"Missing details",IF(LEN(B857)&gt;80,"Name too long",IF(COUNTIFS($A$2:$A$1001,A857,$B$2:$B$1001,B857)&gt;1,"Duplicate court name",IF(AND(C857&lt;&gt;"",C857&lt;&gt;"Hard",C857&lt;&gt;"Synthetic",C857&lt;&gt;"Other",C857&lt;&gt;"Not sure"),"Unknown surface",IF(OR(AND(D857&lt;&gt;"Yes",D857&lt;&gt;"No"),AND(E857&lt;&gt;"Yes",E857&lt;&gt;"No"),AND(F857&lt;&gt;"Yes",F857&lt;&gt;"No")),"Use Yes or No","OK")))))))</f>
      </c>
    </row>
    <row r="858">
      <c r="G858" s="4">
        <f>IF(A858="","",IF(COUNTIF(Venues!$A$2:$A$201,A858)=0,"Unknown venue code",IF(OR(B858="",D858="",E858="",F858=""),"Missing details",IF(LEN(B858)&gt;80,"Name too long",IF(COUNTIFS($A$2:$A$1001,A858,$B$2:$B$1001,B858)&gt;1,"Duplicate court name",IF(AND(C858&lt;&gt;"",C858&lt;&gt;"Hard",C858&lt;&gt;"Synthetic",C858&lt;&gt;"Other",C858&lt;&gt;"Not sure"),"Unknown surface",IF(OR(AND(D858&lt;&gt;"Yes",D858&lt;&gt;"No"),AND(E858&lt;&gt;"Yes",E858&lt;&gt;"No"),AND(F858&lt;&gt;"Yes",F858&lt;&gt;"No")),"Use Yes or No","OK")))))))</f>
      </c>
    </row>
    <row r="859">
      <c r="G859" s="4">
        <f>IF(A859="","",IF(COUNTIF(Venues!$A$2:$A$201,A859)=0,"Unknown venue code",IF(OR(B859="",D859="",E859="",F859=""),"Missing details",IF(LEN(B859)&gt;80,"Name too long",IF(COUNTIFS($A$2:$A$1001,A859,$B$2:$B$1001,B859)&gt;1,"Duplicate court name",IF(AND(C859&lt;&gt;"",C859&lt;&gt;"Hard",C859&lt;&gt;"Synthetic",C859&lt;&gt;"Other",C859&lt;&gt;"Not sure"),"Unknown surface",IF(OR(AND(D859&lt;&gt;"Yes",D859&lt;&gt;"No"),AND(E859&lt;&gt;"Yes",E859&lt;&gt;"No"),AND(F859&lt;&gt;"Yes",F859&lt;&gt;"No")),"Use Yes or No","OK")))))))</f>
      </c>
    </row>
    <row r="860">
      <c r="G860" s="4">
        <f>IF(A860="","",IF(COUNTIF(Venues!$A$2:$A$201,A860)=0,"Unknown venue code",IF(OR(B860="",D860="",E860="",F860=""),"Missing details",IF(LEN(B860)&gt;80,"Name too long",IF(COUNTIFS($A$2:$A$1001,A860,$B$2:$B$1001,B860)&gt;1,"Duplicate court name",IF(AND(C860&lt;&gt;"",C860&lt;&gt;"Hard",C860&lt;&gt;"Synthetic",C860&lt;&gt;"Other",C860&lt;&gt;"Not sure"),"Unknown surface",IF(OR(AND(D860&lt;&gt;"Yes",D860&lt;&gt;"No"),AND(E860&lt;&gt;"Yes",E860&lt;&gt;"No"),AND(F860&lt;&gt;"Yes",F860&lt;&gt;"No")),"Use Yes or No","OK")))))))</f>
      </c>
    </row>
    <row r="861">
      <c r="G861" s="4">
        <f>IF(A861="","",IF(COUNTIF(Venues!$A$2:$A$201,A861)=0,"Unknown venue code",IF(OR(B861="",D861="",E861="",F861=""),"Missing details",IF(LEN(B861)&gt;80,"Name too long",IF(COUNTIFS($A$2:$A$1001,A861,$B$2:$B$1001,B861)&gt;1,"Duplicate court name",IF(AND(C861&lt;&gt;"",C861&lt;&gt;"Hard",C861&lt;&gt;"Synthetic",C861&lt;&gt;"Other",C861&lt;&gt;"Not sure"),"Unknown surface",IF(OR(AND(D861&lt;&gt;"Yes",D861&lt;&gt;"No"),AND(E861&lt;&gt;"Yes",E861&lt;&gt;"No"),AND(F861&lt;&gt;"Yes",F861&lt;&gt;"No")),"Use Yes or No","OK")))))))</f>
      </c>
    </row>
    <row r="862">
      <c r="G862" s="4">
        <f>IF(A862="","",IF(COUNTIF(Venues!$A$2:$A$201,A862)=0,"Unknown venue code",IF(OR(B862="",D862="",E862="",F862=""),"Missing details",IF(LEN(B862)&gt;80,"Name too long",IF(COUNTIFS($A$2:$A$1001,A862,$B$2:$B$1001,B862)&gt;1,"Duplicate court name",IF(AND(C862&lt;&gt;"",C862&lt;&gt;"Hard",C862&lt;&gt;"Synthetic",C862&lt;&gt;"Other",C862&lt;&gt;"Not sure"),"Unknown surface",IF(OR(AND(D862&lt;&gt;"Yes",D862&lt;&gt;"No"),AND(E862&lt;&gt;"Yes",E862&lt;&gt;"No"),AND(F862&lt;&gt;"Yes",F862&lt;&gt;"No")),"Use Yes or No","OK")))))))</f>
      </c>
    </row>
    <row r="863">
      <c r="G863" s="4">
        <f>IF(A863="","",IF(COUNTIF(Venues!$A$2:$A$201,A863)=0,"Unknown venue code",IF(OR(B863="",D863="",E863="",F863=""),"Missing details",IF(LEN(B863)&gt;80,"Name too long",IF(COUNTIFS($A$2:$A$1001,A863,$B$2:$B$1001,B863)&gt;1,"Duplicate court name",IF(AND(C863&lt;&gt;"",C863&lt;&gt;"Hard",C863&lt;&gt;"Synthetic",C863&lt;&gt;"Other",C863&lt;&gt;"Not sure"),"Unknown surface",IF(OR(AND(D863&lt;&gt;"Yes",D863&lt;&gt;"No"),AND(E863&lt;&gt;"Yes",E863&lt;&gt;"No"),AND(F863&lt;&gt;"Yes",F863&lt;&gt;"No")),"Use Yes or No","OK")))))))</f>
      </c>
    </row>
    <row r="864">
      <c r="G864" s="4">
        <f>IF(A864="","",IF(COUNTIF(Venues!$A$2:$A$201,A864)=0,"Unknown venue code",IF(OR(B864="",D864="",E864="",F864=""),"Missing details",IF(LEN(B864)&gt;80,"Name too long",IF(COUNTIFS($A$2:$A$1001,A864,$B$2:$B$1001,B864)&gt;1,"Duplicate court name",IF(AND(C864&lt;&gt;"",C864&lt;&gt;"Hard",C864&lt;&gt;"Synthetic",C864&lt;&gt;"Other",C864&lt;&gt;"Not sure"),"Unknown surface",IF(OR(AND(D864&lt;&gt;"Yes",D864&lt;&gt;"No"),AND(E864&lt;&gt;"Yes",E864&lt;&gt;"No"),AND(F864&lt;&gt;"Yes",F864&lt;&gt;"No")),"Use Yes or No","OK")))))))</f>
      </c>
    </row>
    <row r="865">
      <c r="G865" s="4">
        <f>IF(A865="","",IF(COUNTIF(Venues!$A$2:$A$201,A865)=0,"Unknown venue code",IF(OR(B865="",D865="",E865="",F865=""),"Missing details",IF(LEN(B865)&gt;80,"Name too long",IF(COUNTIFS($A$2:$A$1001,A865,$B$2:$B$1001,B865)&gt;1,"Duplicate court name",IF(AND(C865&lt;&gt;"",C865&lt;&gt;"Hard",C865&lt;&gt;"Synthetic",C865&lt;&gt;"Other",C865&lt;&gt;"Not sure"),"Unknown surface",IF(OR(AND(D865&lt;&gt;"Yes",D865&lt;&gt;"No"),AND(E865&lt;&gt;"Yes",E865&lt;&gt;"No"),AND(F865&lt;&gt;"Yes",F865&lt;&gt;"No")),"Use Yes or No","OK")))))))</f>
      </c>
    </row>
    <row r="866">
      <c r="G866" s="4">
        <f>IF(A866="","",IF(COUNTIF(Venues!$A$2:$A$201,A866)=0,"Unknown venue code",IF(OR(B866="",D866="",E866="",F866=""),"Missing details",IF(LEN(B866)&gt;80,"Name too long",IF(COUNTIFS($A$2:$A$1001,A866,$B$2:$B$1001,B866)&gt;1,"Duplicate court name",IF(AND(C866&lt;&gt;"",C866&lt;&gt;"Hard",C866&lt;&gt;"Synthetic",C866&lt;&gt;"Other",C866&lt;&gt;"Not sure"),"Unknown surface",IF(OR(AND(D866&lt;&gt;"Yes",D866&lt;&gt;"No"),AND(E866&lt;&gt;"Yes",E866&lt;&gt;"No"),AND(F866&lt;&gt;"Yes",F866&lt;&gt;"No")),"Use Yes or No","OK")))))))</f>
      </c>
    </row>
    <row r="867">
      <c r="G867" s="4">
        <f>IF(A867="","",IF(COUNTIF(Venues!$A$2:$A$201,A867)=0,"Unknown venue code",IF(OR(B867="",D867="",E867="",F867=""),"Missing details",IF(LEN(B867)&gt;80,"Name too long",IF(COUNTIFS($A$2:$A$1001,A867,$B$2:$B$1001,B867)&gt;1,"Duplicate court name",IF(AND(C867&lt;&gt;"",C867&lt;&gt;"Hard",C867&lt;&gt;"Synthetic",C867&lt;&gt;"Other",C867&lt;&gt;"Not sure"),"Unknown surface",IF(OR(AND(D867&lt;&gt;"Yes",D867&lt;&gt;"No"),AND(E867&lt;&gt;"Yes",E867&lt;&gt;"No"),AND(F867&lt;&gt;"Yes",F867&lt;&gt;"No")),"Use Yes or No","OK")))))))</f>
      </c>
    </row>
    <row r="868">
      <c r="G868" s="4">
        <f>IF(A868="","",IF(COUNTIF(Venues!$A$2:$A$201,A868)=0,"Unknown venue code",IF(OR(B868="",D868="",E868="",F868=""),"Missing details",IF(LEN(B868)&gt;80,"Name too long",IF(COUNTIFS($A$2:$A$1001,A868,$B$2:$B$1001,B868)&gt;1,"Duplicate court name",IF(AND(C868&lt;&gt;"",C868&lt;&gt;"Hard",C868&lt;&gt;"Synthetic",C868&lt;&gt;"Other",C868&lt;&gt;"Not sure"),"Unknown surface",IF(OR(AND(D868&lt;&gt;"Yes",D868&lt;&gt;"No"),AND(E868&lt;&gt;"Yes",E868&lt;&gt;"No"),AND(F868&lt;&gt;"Yes",F868&lt;&gt;"No")),"Use Yes or No","OK")))))))</f>
      </c>
    </row>
    <row r="869">
      <c r="G869" s="4">
        <f>IF(A869="","",IF(COUNTIF(Venues!$A$2:$A$201,A869)=0,"Unknown venue code",IF(OR(B869="",D869="",E869="",F869=""),"Missing details",IF(LEN(B869)&gt;80,"Name too long",IF(COUNTIFS($A$2:$A$1001,A869,$B$2:$B$1001,B869)&gt;1,"Duplicate court name",IF(AND(C869&lt;&gt;"",C869&lt;&gt;"Hard",C869&lt;&gt;"Synthetic",C869&lt;&gt;"Other",C869&lt;&gt;"Not sure"),"Unknown surface",IF(OR(AND(D869&lt;&gt;"Yes",D869&lt;&gt;"No"),AND(E869&lt;&gt;"Yes",E869&lt;&gt;"No"),AND(F869&lt;&gt;"Yes",F869&lt;&gt;"No")),"Use Yes or No","OK")))))))</f>
      </c>
    </row>
    <row r="870">
      <c r="G870" s="4">
        <f>IF(A870="","",IF(COUNTIF(Venues!$A$2:$A$201,A870)=0,"Unknown venue code",IF(OR(B870="",D870="",E870="",F870=""),"Missing details",IF(LEN(B870)&gt;80,"Name too long",IF(COUNTIFS($A$2:$A$1001,A870,$B$2:$B$1001,B870)&gt;1,"Duplicate court name",IF(AND(C870&lt;&gt;"",C870&lt;&gt;"Hard",C870&lt;&gt;"Synthetic",C870&lt;&gt;"Other",C870&lt;&gt;"Not sure"),"Unknown surface",IF(OR(AND(D870&lt;&gt;"Yes",D870&lt;&gt;"No"),AND(E870&lt;&gt;"Yes",E870&lt;&gt;"No"),AND(F870&lt;&gt;"Yes",F870&lt;&gt;"No")),"Use Yes or No","OK")))))))</f>
      </c>
    </row>
    <row r="871">
      <c r="G871" s="4">
        <f>IF(A871="","",IF(COUNTIF(Venues!$A$2:$A$201,A871)=0,"Unknown venue code",IF(OR(B871="",D871="",E871="",F871=""),"Missing details",IF(LEN(B871)&gt;80,"Name too long",IF(COUNTIFS($A$2:$A$1001,A871,$B$2:$B$1001,B871)&gt;1,"Duplicate court name",IF(AND(C871&lt;&gt;"",C871&lt;&gt;"Hard",C871&lt;&gt;"Synthetic",C871&lt;&gt;"Other",C871&lt;&gt;"Not sure"),"Unknown surface",IF(OR(AND(D871&lt;&gt;"Yes",D871&lt;&gt;"No"),AND(E871&lt;&gt;"Yes",E871&lt;&gt;"No"),AND(F871&lt;&gt;"Yes",F871&lt;&gt;"No")),"Use Yes or No","OK")))))))</f>
      </c>
    </row>
    <row r="872">
      <c r="G872" s="4">
        <f>IF(A872="","",IF(COUNTIF(Venues!$A$2:$A$201,A872)=0,"Unknown venue code",IF(OR(B872="",D872="",E872="",F872=""),"Missing details",IF(LEN(B872)&gt;80,"Name too long",IF(COUNTIFS($A$2:$A$1001,A872,$B$2:$B$1001,B872)&gt;1,"Duplicate court name",IF(AND(C872&lt;&gt;"",C872&lt;&gt;"Hard",C872&lt;&gt;"Synthetic",C872&lt;&gt;"Other",C872&lt;&gt;"Not sure"),"Unknown surface",IF(OR(AND(D872&lt;&gt;"Yes",D872&lt;&gt;"No"),AND(E872&lt;&gt;"Yes",E872&lt;&gt;"No"),AND(F872&lt;&gt;"Yes",F872&lt;&gt;"No")),"Use Yes or No","OK")))))))</f>
      </c>
    </row>
    <row r="873">
      <c r="G873" s="4">
        <f>IF(A873="","",IF(COUNTIF(Venues!$A$2:$A$201,A873)=0,"Unknown venue code",IF(OR(B873="",D873="",E873="",F873=""),"Missing details",IF(LEN(B873)&gt;80,"Name too long",IF(COUNTIFS($A$2:$A$1001,A873,$B$2:$B$1001,B873)&gt;1,"Duplicate court name",IF(AND(C873&lt;&gt;"",C873&lt;&gt;"Hard",C873&lt;&gt;"Synthetic",C873&lt;&gt;"Other",C873&lt;&gt;"Not sure"),"Unknown surface",IF(OR(AND(D873&lt;&gt;"Yes",D873&lt;&gt;"No"),AND(E873&lt;&gt;"Yes",E873&lt;&gt;"No"),AND(F873&lt;&gt;"Yes",F873&lt;&gt;"No")),"Use Yes or No","OK")))))))</f>
      </c>
    </row>
    <row r="874">
      <c r="G874" s="4">
        <f>IF(A874="","",IF(COUNTIF(Venues!$A$2:$A$201,A874)=0,"Unknown venue code",IF(OR(B874="",D874="",E874="",F874=""),"Missing details",IF(LEN(B874)&gt;80,"Name too long",IF(COUNTIFS($A$2:$A$1001,A874,$B$2:$B$1001,B874)&gt;1,"Duplicate court name",IF(AND(C874&lt;&gt;"",C874&lt;&gt;"Hard",C874&lt;&gt;"Synthetic",C874&lt;&gt;"Other",C874&lt;&gt;"Not sure"),"Unknown surface",IF(OR(AND(D874&lt;&gt;"Yes",D874&lt;&gt;"No"),AND(E874&lt;&gt;"Yes",E874&lt;&gt;"No"),AND(F874&lt;&gt;"Yes",F874&lt;&gt;"No")),"Use Yes or No","OK")))))))</f>
      </c>
    </row>
    <row r="875">
      <c r="G875" s="4">
        <f>IF(A875="","",IF(COUNTIF(Venues!$A$2:$A$201,A875)=0,"Unknown venue code",IF(OR(B875="",D875="",E875="",F875=""),"Missing details",IF(LEN(B875)&gt;80,"Name too long",IF(COUNTIFS($A$2:$A$1001,A875,$B$2:$B$1001,B875)&gt;1,"Duplicate court name",IF(AND(C875&lt;&gt;"",C875&lt;&gt;"Hard",C875&lt;&gt;"Synthetic",C875&lt;&gt;"Other",C875&lt;&gt;"Not sure"),"Unknown surface",IF(OR(AND(D875&lt;&gt;"Yes",D875&lt;&gt;"No"),AND(E875&lt;&gt;"Yes",E875&lt;&gt;"No"),AND(F875&lt;&gt;"Yes",F875&lt;&gt;"No")),"Use Yes or No","OK")))))))</f>
      </c>
    </row>
    <row r="876">
      <c r="G876" s="4">
        <f>IF(A876="","",IF(COUNTIF(Venues!$A$2:$A$201,A876)=0,"Unknown venue code",IF(OR(B876="",D876="",E876="",F876=""),"Missing details",IF(LEN(B876)&gt;80,"Name too long",IF(COUNTIFS($A$2:$A$1001,A876,$B$2:$B$1001,B876)&gt;1,"Duplicate court name",IF(AND(C876&lt;&gt;"",C876&lt;&gt;"Hard",C876&lt;&gt;"Synthetic",C876&lt;&gt;"Other",C876&lt;&gt;"Not sure"),"Unknown surface",IF(OR(AND(D876&lt;&gt;"Yes",D876&lt;&gt;"No"),AND(E876&lt;&gt;"Yes",E876&lt;&gt;"No"),AND(F876&lt;&gt;"Yes",F876&lt;&gt;"No")),"Use Yes or No","OK")))))))</f>
      </c>
    </row>
    <row r="877">
      <c r="G877" s="4">
        <f>IF(A877="","",IF(COUNTIF(Venues!$A$2:$A$201,A877)=0,"Unknown venue code",IF(OR(B877="",D877="",E877="",F877=""),"Missing details",IF(LEN(B877)&gt;80,"Name too long",IF(COUNTIFS($A$2:$A$1001,A877,$B$2:$B$1001,B877)&gt;1,"Duplicate court name",IF(AND(C877&lt;&gt;"",C877&lt;&gt;"Hard",C877&lt;&gt;"Synthetic",C877&lt;&gt;"Other",C877&lt;&gt;"Not sure"),"Unknown surface",IF(OR(AND(D877&lt;&gt;"Yes",D877&lt;&gt;"No"),AND(E877&lt;&gt;"Yes",E877&lt;&gt;"No"),AND(F877&lt;&gt;"Yes",F877&lt;&gt;"No")),"Use Yes or No","OK")))))))</f>
      </c>
    </row>
    <row r="878">
      <c r="G878" s="4">
        <f>IF(A878="","",IF(COUNTIF(Venues!$A$2:$A$201,A878)=0,"Unknown venue code",IF(OR(B878="",D878="",E878="",F878=""),"Missing details",IF(LEN(B878)&gt;80,"Name too long",IF(COUNTIFS($A$2:$A$1001,A878,$B$2:$B$1001,B878)&gt;1,"Duplicate court name",IF(AND(C878&lt;&gt;"",C878&lt;&gt;"Hard",C878&lt;&gt;"Synthetic",C878&lt;&gt;"Other",C878&lt;&gt;"Not sure"),"Unknown surface",IF(OR(AND(D878&lt;&gt;"Yes",D878&lt;&gt;"No"),AND(E878&lt;&gt;"Yes",E878&lt;&gt;"No"),AND(F878&lt;&gt;"Yes",F878&lt;&gt;"No")),"Use Yes or No","OK")))))))</f>
      </c>
    </row>
    <row r="879">
      <c r="G879" s="4">
        <f>IF(A879="","",IF(COUNTIF(Venues!$A$2:$A$201,A879)=0,"Unknown venue code",IF(OR(B879="",D879="",E879="",F879=""),"Missing details",IF(LEN(B879)&gt;80,"Name too long",IF(COUNTIFS($A$2:$A$1001,A879,$B$2:$B$1001,B879)&gt;1,"Duplicate court name",IF(AND(C879&lt;&gt;"",C879&lt;&gt;"Hard",C879&lt;&gt;"Synthetic",C879&lt;&gt;"Other",C879&lt;&gt;"Not sure"),"Unknown surface",IF(OR(AND(D879&lt;&gt;"Yes",D879&lt;&gt;"No"),AND(E879&lt;&gt;"Yes",E879&lt;&gt;"No"),AND(F879&lt;&gt;"Yes",F879&lt;&gt;"No")),"Use Yes or No","OK")))))))</f>
      </c>
    </row>
    <row r="880">
      <c r="G880" s="4">
        <f>IF(A880="","",IF(COUNTIF(Venues!$A$2:$A$201,A880)=0,"Unknown venue code",IF(OR(B880="",D880="",E880="",F880=""),"Missing details",IF(LEN(B880)&gt;80,"Name too long",IF(COUNTIFS($A$2:$A$1001,A880,$B$2:$B$1001,B880)&gt;1,"Duplicate court name",IF(AND(C880&lt;&gt;"",C880&lt;&gt;"Hard",C880&lt;&gt;"Synthetic",C880&lt;&gt;"Other",C880&lt;&gt;"Not sure"),"Unknown surface",IF(OR(AND(D880&lt;&gt;"Yes",D880&lt;&gt;"No"),AND(E880&lt;&gt;"Yes",E880&lt;&gt;"No"),AND(F880&lt;&gt;"Yes",F880&lt;&gt;"No")),"Use Yes or No","OK")))))))</f>
      </c>
    </row>
    <row r="881">
      <c r="G881" s="4">
        <f>IF(A881="","",IF(COUNTIF(Venues!$A$2:$A$201,A881)=0,"Unknown venue code",IF(OR(B881="",D881="",E881="",F881=""),"Missing details",IF(LEN(B881)&gt;80,"Name too long",IF(COUNTIFS($A$2:$A$1001,A881,$B$2:$B$1001,B881)&gt;1,"Duplicate court name",IF(AND(C881&lt;&gt;"",C881&lt;&gt;"Hard",C881&lt;&gt;"Synthetic",C881&lt;&gt;"Other",C881&lt;&gt;"Not sure"),"Unknown surface",IF(OR(AND(D881&lt;&gt;"Yes",D881&lt;&gt;"No"),AND(E881&lt;&gt;"Yes",E881&lt;&gt;"No"),AND(F881&lt;&gt;"Yes",F881&lt;&gt;"No")),"Use Yes or No","OK")))))))</f>
      </c>
    </row>
    <row r="882">
      <c r="G882" s="4">
        <f>IF(A882="","",IF(COUNTIF(Venues!$A$2:$A$201,A882)=0,"Unknown venue code",IF(OR(B882="",D882="",E882="",F882=""),"Missing details",IF(LEN(B882)&gt;80,"Name too long",IF(COUNTIFS($A$2:$A$1001,A882,$B$2:$B$1001,B882)&gt;1,"Duplicate court name",IF(AND(C882&lt;&gt;"",C882&lt;&gt;"Hard",C882&lt;&gt;"Synthetic",C882&lt;&gt;"Other",C882&lt;&gt;"Not sure"),"Unknown surface",IF(OR(AND(D882&lt;&gt;"Yes",D882&lt;&gt;"No"),AND(E882&lt;&gt;"Yes",E882&lt;&gt;"No"),AND(F882&lt;&gt;"Yes",F882&lt;&gt;"No")),"Use Yes or No","OK")))))))</f>
      </c>
    </row>
    <row r="883">
      <c r="G883" s="4">
        <f>IF(A883="","",IF(COUNTIF(Venues!$A$2:$A$201,A883)=0,"Unknown venue code",IF(OR(B883="",D883="",E883="",F883=""),"Missing details",IF(LEN(B883)&gt;80,"Name too long",IF(COUNTIFS($A$2:$A$1001,A883,$B$2:$B$1001,B883)&gt;1,"Duplicate court name",IF(AND(C883&lt;&gt;"",C883&lt;&gt;"Hard",C883&lt;&gt;"Synthetic",C883&lt;&gt;"Other",C883&lt;&gt;"Not sure"),"Unknown surface",IF(OR(AND(D883&lt;&gt;"Yes",D883&lt;&gt;"No"),AND(E883&lt;&gt;"Yes",E883&lt;&gt;"No"),AND(F883&lt;&gt;"Yes",F883&lt;&gt;"No")),"Use Yes or No","OK")))))))</f>
      </c>
    </row>
    <row r="884">
      <c r="G884" s="4">
        <f>IF(A884="","",IF(COUNTIF(Venues!$A$2:$A$201,A884)=0,"Unknown venue code",IF(OR(B884="",D884="",E884="",F884=""),"Missing details",IF(LEN(B884)&gt;80,"Name too long",IF(COUNTIFS($A$2:$A$1001,A884,$B$2:$B$1001,B884)&gt;1,"Duplicate court name",IF(AND(C884&lt;&gt;"",C884&lt;&gt;"Hard",C884&lt;&gt;"Synthetic",C884&lt;&gt;"Other",C884&lt;&gt;"Not sure"),"Unknown surface",IF(OR(AND(D884&lt;&gt;"Yes",D884&lt;&gt;"No"),AND(E884&lt;&gt;"Yes",E884&lt;&gt;"No"),AND(F884&lt;&gt;"Yes",F884&lt;&gt;"No")),"Use Yes or No","OK")))))))</f>
      </c>
    </row>
    <row r="885">
      <c r="G885" s="4">
        <f>IF(A885="","",IF(COUNTIF(Venues!$A$2:$A$201,A885)=0,"Unknown venue code",IF(OR(B885="",D885="",E885="",F885=""),"Missing details",IF(LEN(B885)&gt;80,"Name too long",IF(COUNTIFS($A$2:$A$1001,A885,$B$2:$B$1001,B885)&gt;1,"Duplicate court name",IF(AND(C885&lt;&gt;"",C885&lt;&gt;"Hard",C885&lt;&gt;"Synthetic",C885&lt;&gt;"Other",C885&lt;&gt;"Not sure"),"Unknown surface",IF(OR(AND(D885&lt;&gt;"Yes",D885&lt;&gt;"No"),AND(E885&lt;&gt;"Yes",E885&lt;&gt;"No"),AND(F885&lt;&gt;"Yes",F885&lt;&gt;"No")),"Use Yes or No","OK")))))))</f>
      </c>
    </row>
    <row r="886">
      <c r="G886" s="4">
        <f>IF(A886="","",IF(COUNTIF(Venues!$A$2:$A$201,A886)=0,"Unknown venue code",IF(OR(B886="",D886="",E886="",F886=""),"Missing details",IF(LEN(B886)&gt;80,"Name too long",IF(COUNTIFS($A$2:$A$1001,A886,$B$2:$B$1001,B886)&gt;1,"Duplicate court name",IF(AND(C886&lt;&gt;"",C886&lt;&gt;"Hard",C886&lt;&gt;"Synthetic",C886&lt;&gt;"Other",C886&lt;&gt;"Not sure"),"Unknown surface",IF(OR(AND(D886&lt;&gt;"Yes",D886&lt;&gt;"No"),AND(E886&lt;&gt;"Yes",E886&lt;&gt;"No"),AND(F886&lt;&gt;"Yes",F886&lt;&gt;"No")),"Use Yes or No","OK")))))))</f>
      </c>
    </row>
    <row r="887">
      <c r="G887" s="4">
        <f>IF(A887="","",IF(COUNTIF(Venues!$A$2:$A$201,A887)=0,"Unknown venue code",IF(OR(B887="",D887="",E887="",F887=""),"Missing details",IF(LEN(B887)&gt;80,"Name too long",IF(COUNTIFS($A$2:$A$1001,A887,$B$2:$B$1001,B887)&gt;1,"Duplicate court name",IF(AND(C887&lt;&gt;"",C887&lt;&gt;"Hard",C887&lt;&gt;"Synthetic",C887&lt;&gt;"Other",C887&lt;&gt;"Not sure"),"Unknown surface",IF(OR(AND(D887&lt;&gt;"Yes",D887&lt;&gt;"No"),AND(E887&lt;&gt;"Yes",E887&lt;&gt;"No"),AND(F887&lt;&gt;"Yes",F887&lt;&gt;"No")),"Use Yes or No","OK")))))))</f>
      </c>
    </row>
    <row r="888">
      <c r="G888" s="4">
        <f>IF(A888="","",IF(COUNTIF(Venues!$A$2:$A$201,A888)=0,"Unknown venue code",IF(OR(B888="",D888="",E888="",F888=""),"Missing details",IF(LEN(B888)&gt;80,"Name too long",IF(COUNTIFS($A$2:$A$1001,A888,$B$2:$B$1001,B888)&gt;1,"Duplicate court name",IF(AND(C888&lt;&gt;"",C888&lt;&gt;"Hard",C888&lt;&gt;"Synthetic",C888&lt;&gt;"Other",C888&lt;&gt;"Not sure"),"Unknown surface",IF(OR(AND(D888&lt;&gt;"Yes",D888&lt;&gt;"No"),AND(E888&lt;&gt;"Yes",E888&lt;&gt;"No"),AND(F888&lt;&gt;"Yes",F888&lt;&gt;"No")),"Use Yes or No","OK")))))))</f>
      </c>
    </row>
    <row r="889">
      <c r="G889" s="4">
        <f>IF(A889="","",IF(COUNTIF(Venues!$A$2:$A$201,A889)=0,"Unknown venue code",IF(OR(B889="",D889="",E889="",F889=""),"Missing details",IF(LEN(B889)&gt;80,"Name too long",IF(COUNTIFS($A$2:$A$1001,A889,$B$2:$B$1001,B889)&gt;1,"Duplicate court name",IF(AND(C889&lt;&gt;"",C889&lt;&gt;"Hard",C889&lt;&gt;"Synthetic",C889&lt;&gt;"Other",C889&lt;&gt;"Not sure"),"Unknown surface",IF(OR(AND(D889&lt;&gt;"Yes",D889&lt;&gt;"No"),AND(E889&lt;&gt;"Yes",E889&lt;&gt;"No"),AND(F889&lt;&gt;"Yes",F889&lt;&gt;"No")),"Use Yes or No","OK")))))))</f>
      </c>
    </row>
    <row r="890">
      <c r="G890" s="4">
        <f>IF(A890="","",IF(COUNTIF(Venues!$A$2:$A$201,A890)=0,"Unknown venue code",IF(OR(B890="",D890="",E890="",F890=""),"Missing details",IF(LEN(B890)&gt;80,"Name too long",IF(COUNTIFS($A$2:$A$1001,A890,$B$2:$B$1001,B890)&gt;1,"Duplicate court name",IF(AND(C890&lt;&gt;"",C890&lt;&gt;"Hard",C890&lt;&gt;"Synthetic",C890&lt;&gt;"Other",C890&lt;&gt;"Not sure"),"Unknown surface",IF(OR(AND(D890&lt;&gt;"Yes",D890&lt;&gt;"No"),AND(E890&lt;&gt;"Yes",E890&lt;&gt;"No"),AND(F890&lt;&gt;"Yes",F890&lt;&gt;"No")),"Use Yes or No","OK")))))))</f>
      </c>
    </row>
    <row r="891">
      <c r="G891" s="4">
        <f>IF(A891="","",IF(COUNTIF(Venues!$A$2:$A$201,A891)=0,"Unknown venue code",IF(OR(B891="",D891="",E891="",F891=""),"Missing details",IF(LEN(B891)&gt;80,"Name too long",IF(COUNTIFS($A$2:$A$1001,A891,$B$2:$B$1001,B891)&gt;1,"Duplicate court name",IF(AND(C891&lt;&gt;"",C891&lt;&gt;"Hard",C891&lt;&gt;"Synthetic",C891&lt;&gt;"Other",C891&lt;&gt;"Not sure"),"Unknown surface",IF(OR(AND(D891&lt;&gt;"Yes",D891&lt;&gt;"No"),AND(E891&lt;&gt;"Yes",E891&lt;&gt;"No"),AND(F891&lt;&gt;"Yes",F891&lt;&gt;"No")),"Use Yes or No","OK")))))))</f>
      </c>
    </row>
    <row r="892">
      <c r="G892" s="4">
        <f>IF(A892="","",IF(COUNTIF(Venues!$A$2:$A$201,A892)=0,"Unknown venue code",IF(OR(B892="",D892="",E892="",F892=""),"Missing details",IF(LEN(B892)&gt;80,"Name too long",IF(COUNTIFS($A$2:$A$1001,A892,$B$2:$B$1001,B892)&gt;1,"Duplicate court name",IF(AND(C892&lt;&gt;"",C892&lt;&gt;"Hard",C892&lt;&gt;"Synthetic",C892&lt;&gt;"Other",C892&lt;&gt;"Not sure"),"Unknown surface",IF(OR(AND(D892&lt;&gt;"Yes",D892&lt;&gt;"No"),AND(E892&lt;&gt;"Yes",E892&lt;&gt;"No"),AND(F892&lt;&gt;"Yes",F892&lt;&gt;"No")),"Use Yes or No","OK")))))))</f>
      </c>
    </row>
    <row r="893">
      <c r="G893" s="4">
        <f>IF(A893="","",IF(COUNTIF(Venues!$A$2:$A$201,A893)=0,"Unknown venue code",IF(OR(B893="",D893="",E893="",F893=""),"Missing details",IF(LEN(B893)&gt;80,"Name too long",IF(COUNTIFS($A$2:$A$1001,A893,$B$2:$B$1001,B893)&gt;1,"Duplicate court name",IF(AND(C893&lt;&gt;"",C893&lt;&gt;"Hard",C893&lt;&gt;"Synthetic",C893&lt;&gt;"Other",C893&lt;&gt;"Not sure"),"Unknown surface",IF(OR(AND(D893&lt;&gt;"Yes",D893&lt;&gt;"No"),AND(E893&lt;&gt;"Yes",E893&lt;&gt;"No"),AND(F893&lt;&gt;"Yes",F893&lt;&gt;"No")),"Use Yes or No","OK")))))))</f>
      </c>
    </row>
    <row r="894">
      <c r="G894" s="4">
        <f>IF(A894="","",IF(COUNTIF(Venues!$A$2:$A$201,A894)=0,"Unknown venue code",IF(OR(B894="",D894="",E894="",F894=""),"Missing details",IF(LEN(B894)&gt;80,"Name too long",IF(COUNTIFS($A$2:$A$1001,A894,$B$2:$B$1001,B894)&gt;1,"Duplicate court name",IF(AND(C894&lt;&gt;"",C894&lt;&gt;"Hard",C894&lt;&gt;"Synthetic",C894&lt;&gt;"Other",C894&lt;&gt;"Not sure"),"Unknown surface",IF(OR(AND(D894&lt;&gt;"Yes",D894&lt;&gt;"No"),AND(E894&lt;&gt;"Yes",E894&lt;&gt;"No"),AND(F894&lt;&gt;"Yes",F894&lt;&gt;"No")),"Use Yes or No","OK")))))))</f>
      </c>
    </row>
    <row r="895">
      <c r="G895" s="4">
        <f>IF(A895="","",IF(COUNTIF(Venues!$A$2:$A$201,A895)=0,"Unknown venue code",IF(OR(B895="",D895="",E895="",F895=""),"Missing details",IF(LEN(B895)&gt;80,"Name too long",IF(COUNTIFS($A$2:$A$1001,A895,$B$2:$B$1001,B895)&gt;1,"Duplicate court name",IF(AND(C895&lt;&gt;"",C895&lt;&gt;"Hard",C895&lt;&gt;"Synthetic",C895&lt;&gt;"Other",C895&lt;&gt;"Not sure"),"Unknown surface",IF(OR(AND(D895&lt;&gt;"Yes",D895&lt;&gt;"No"),AND(E895&lt;&gt;"Yes",E895&lt;&gt;"No"),AND(F895&lt;&gt;"Yes",F895&lt;&gt;"No")),"Use Yes or No","OK")))))))</f>
      </c>
    </row>
    <row r="896">
      <c r="G896" s="4">
        <f>IF(A896="","",IF(COUNTIF(Venues!$A$2:$A$201,A896)=0,"Unknown venue code",IF(OR(B896="",D896="",E896="",F896=""),"Missing details",IF(LEN(B896)&gt;80,"Name too long",IF(COUNTIFS($A$2:$A$1001,A896,$B$2:$B$1001,B896)&gt;1,"Duplicate court name",IF(AND(C896&lt;&gt;"",C896&lt;&gt;"Hard",C896&lt;&gt;"Synthetic",C896&lt;&gt;"Other",C896&lt;&gt;"Not sure"),"Unknown surface",IF(OR(AND(D896&lt;&gt;"Yes",D896&lt;&gt;"No"),AND(E896&lt;&gt;"Yes",E896&lt;&gt;"No"),AND(F896&lt;&gt;"Yes",F896&lt;&gt;"No")),"Use Yes or No","OK")))))))</f>
      </c>
    </row>
    <row r="897">
      <c r="G897" s="4">
        <f>IF(A897="","",IF(COUNTIF(Venues!$A$2:$A$201,A897)=0,"Unknown venue code",IF(OR(B897="",D897="",E897="",F897=""),"Missing details",IF(LEN(B897)&gt;80,"Name too long",IF(COUNTIFS($A$2:$A$1001,A897,$B$2:$B$1001,B897)&gt;1,"Duplicate court name",IF(AND(C897&lt;&gt;"",C897&lt;&gt;"Hard",C897&lt;&gt;"Synthetic",C897&lt;&gt;"Other",C897&lt;&gt;"Not sure"),"Unknown surface",IF(OR(AND(D897&lt;&gt;"Yes",D897&lt;&gt;"No"),AND(E897&lt;&gt;"Yes",E897&lt;&gt;"No"),AND(F897&lt;&gt;"Yes",F897&lt;&gt;"No")),"Use Yes or No","OK")))))))</f>
      </c>
    </row>
    <row r="898">
      <c r="G898" s="4">
        <f>IF(A898="","",IF(COUNTIF(Venues!$A$2:$A$201,A898)=0,"Unknown venue code",IF(OR(B898="",D898="",E898="",F898=""),"Missing details",IF(LEN(B898)&gt;80,"Name too long",IF(COUNTIFS($A$2:$A$1001,A898,$B$2:$B$1001,B898)&gt;1,"Duplicate court name",IF(AND(C898&lt;&gt;"",C898&lt;&gt;"Hard",C898&lt;&gt;"Synthetic",C898&lt;&gt;"Other",C898&lt;&gt;"Not sure"),"Unknown surface",IF(OR(AND(D898&lt;&gt;"Yes",D898&lt;&gt;"No"),AND(E898&lt;&gt;"Yes",E898&lt;&gt;"No"),AND(F898&lt;&gt;"Yes",F898&lt;&gt;"No")),"Use Yes or No","OK")))))))</f>
      </c>
    </row>
    <row r="899">
      <c r="G899" s="4">
        <f>IF(A899="","",IF(COUNTIF(Venues!$A$2:$A$201,A899)=0,"Unknown venue code",IF(OR(B899="",D899="",E899="",F899=""),"Missing details",IF(LEN(B899)&gt;80,"Name too long",IF(COUNTIFS($A$2:$A$1001,A899,$B$2:$B$1001,B899)&gt;1,"Duplicate court name",IF(AND(C899&lt;&gt;"",C899&lt;&gt;"Hard",C899&lt;&gt;"Synthetic",C899&lt;&gt;"Other",C899&lt;&gt;"Not sure"),"Unknown surface",IF(OR(AND(D899&lt;&gt;"Yes",D899&lt;&gt;"No"),AND(E899&lt;&gt;"Yes",E899&lt;&gt;"No"),AND(F899&lt;&gt;"Yes",F899&lt;&gt;"No")),"Use Yes or No","OK")))))))</f>
      </c>
    </row>
    <row r="900">
      <c r="G900" s="4">
        <f>IF(A900="","",IF(COUNTIF(Venues!$A$2:$A$201,A900)=0,"Unknown venue code",IF(OR(B900="",D900="",E900="",F900=""),"Missing details",IF(LEN(B900)&gt;80,"Name too long",IF(COUNTIFS($A$2:$A$1001,A900,$B$2:$B$1001,B900)&gt;1,"Duplicate court name",IF(AND(C900&lt;&gt;"",C900&lt;&gt;"Hard",C900&lt;&gt;"Synthetic",C900&lt;&gt;"Other",C900&lt;&gt;"Not sure"),"Unknown surface",IF(OR(AND(D900&lt;&gt;"Yes",D900&lt;&gt;"No"),AND(E900&lt;&gt;"Yes",E900&lt;&gt;"No"),AND(F900&lt;&gt;"Yes",F900&lt;&gt;"No")),"Use Yes or No","OK")))))))</f>
      </c>
    </row>
    <row r="901">
      <c r="G901" s="4">
        <f>IF(A901="","",IF(COUNTIF(Venues!$A$2:$A$201,A901)=0,"Unknown venue code",IF(OR(B901="",D901="",E901="",F901=""),"Missing details",IF(LEN(B901)&gt;80,"Name too long",IF(COUNTIFS($A$2:$A$1001,A901,$B$2:$B$1001,B901)&gt;1,"Duplicate court name",IF(AND(C901&lt;&gt;"",C901&lt;&gt;"Hard",C901&lt;&gt;"Synthetic",C901&lt;&gt;"Other",C901&lt;&gt;"Not sure"),"Unknown surface",IF(OR(AND(D901&lt;&gt;"Yes",D901&lt;&gt;"No"),AND(E901&lt;&gt;"Yes",E901&lt;&gt;"No"),AND(F901&lt;&gt;"Yes",F901&lt;&gt;"No")),"Use Yes or No","OK")))))))</f>
      </c>
    </row>
    <row r="902">
      <c r="G902" s="4">
        <f>IF(A902="","",IF(COUNTIF(Venues!$A$2:$A$201,A902)=0,"Unknown venue code",IF(OR(B902="",D902="",E902="",F902=""),"Missing details",IF(LEN(B902)&gt;80,"Name too long",IF(COUNTIFS($A$2:$A$1001,A902,$B$2:$B$1001,B902)&gt;1,"Duplicate court name",IF(AND(C902&lt;&gt;"",C902&lt;&gt;"Hard",C902&lt;&gt;"Synthetic",C902&lt;&gt;"Other",C902&lt;&gt;"Not sure"),"Unknown surface",IF(OR(AND(D902&lt;&gt;"Yes",D902&lt;&gt;"No"),AND(E902&lt;&gt;"Yes",E902&lt;&gt;"No"),AND(F902&lt;&gt;"Yes",F902&lt;&gt;"No")),"Use Yes or No","OK")))))))</f>
      </c>
    </row>
    <row r="903">
      <c r="G903" s="4">
        <f>IF(A903="","",IF(COUNTIF(Venues!$A$2:$A$201,A903)=0,"Unknown venue code",IF(OR(B903="",D903="",E903="",F903=""),"Missing details",IF(LEN(B903)&gt;80,"Name too long",IF(COUNTIFS($A$2:$A$1001,A903,$B$2:$B$1001,B903)&gt;1,"Duplicate court name",IF(AND(C903&lt;&gt;"",C903&lt;&gt;"Hard",C903&lt;&gt;"Synthetic",C903&lt;&gt;"Other",C903&lt;&gt;"Not sure"),"Unknown surface",IF(OR(AND(D903&lt;&gt;"Yes",D903&lt;&gt;"No"),AND(E903&lt;&gt;"Yes",E903&lt;&gt;"No"),AND(F903&lt;&gt;"Yes",F903&lt;&gt;"No")),"Use Yes or No","OK")))))))</f>
      </c>
    </row>
    <row r="904">
      <c r="G904" s="4">
        <f>IF(A904="","",IF(COUNTIF(Venues!$A$2:$A$201,A904)=0,"Unknown venue code",IF(OR(B904="",D904="",E904="",F904=""),"Missing details",IF(LEN(B904)&gt;80,"Name too long",IF(COUNTIFS($A$2:$A$1001,A904,$B$2:$B$1001,B904)&gt;1,"Duplicate court name",IF(AND(C904&lt;&gt;"",C904&lt;&gt;"Hard",C904&lt;&gt;"Synthetic",C904&lt;&gt;"Other",C904&lt;&gt;"Not sure"),"Unknown surface",IF(OR(AND(D904&lt;&gt;"Yes",D904&lt;&gt;"No"),AND(E904&lt;&gt;"Yes",E904&lt;&gt;"No"),AND(F904&lt;&gt;"Yes",F904&lt;&gt;"No")),"Use Yes or No","OK")))))))</f>
      </c>
    </row>
    <row r="905">
      <c r="G905" s="4">
        <f>IF(A905="","",IF(COUNTIF(Venues!$A$2:$A$201,A905)=0,"Unknown venue code",IF(OR(B905="",D905="",E905="",F905=""),"Missing details",IF(LEN(B905)&gt;80,"Name too long",IF(COUNTIFS($A$2:$A$1001,A905,$B$2:$B$1001,B905)&gt;1,"Duplicate court name",IF(AND(C905&lt;&gt;"",C905&lt;&gt;"Hard",C905&lt;&gt;"Synthetic",C905&lt;&gt;"Other",C905&lt;&gt;"Not sure"),"Unknown surface",IF(OR(AND(D905&lt;&gt;"Yes",D905&lt;&gt;"No"),AND(E905&lt;&gt;"Yes",E905&lt;&gt;"No"),AND(F905&lt;&gt;"Yes",F905&lt;&gt;"No")),"Use Yes or No","OK")))))))</f>
      </c>
    </row>
    <row r="906">
      <c r="G906" s="4">
        <f>IF(A906="","",IF(COUNTIF(Venues!$A$2:$A$201,A906)=0,"Unknown venue code",IF(OR(B906="",D906="",E906="",F906=""),"Missing details",IF(LEN(B906)&gt;80,"Name too long",IF(COUNTIFS($A$2:$A$1001,A906,$B$2:$B$1001,B906)&gt;1,"Duplicate court name",IF(AND(C906&lt;&gt;"",C906&lt;&gt;"Hard",C906&lt;&gt;"Synthetic",C906&lt;&gt;"Other",C906&lt;&gt;"Not sure"),"Unknown surface",IF(OR(AND(D906&lt;&gt;"Yes",D906&lt;&gt;"No"),AND(E906&lt;&gt;"Yes",E906&lt;&gt;"No"),AND(F906&lt;&gt;"Yes",F906&lt;&gt;"No")),"Use Yes or No","OK")))))))</f>
      </c>
    </row>
    <row r="907">
      <c r="G907" s="4">
        <f>IF(A907="","",IF(COUNTIF(Venues!$A$2:$A$201,A907)=0,"Unknown venue code",IF(OR(B907="",D907="",E907="",F907=""),"Missing details",IF(LEN(B907)&gt;80,"Name too long",IF(COUNTIFS($A$2:$A$1001,A907,$B$2:$B$1001,B907)&gt;1,"Duplicate court name",IF(AND(C907&lt;&gt;"",C907&lt;&gt;"Hard",C907&lt;&gt;"Synthetic",C907&lt;&gt;"Other",C907&lt;&gt;"Not sure"),"Unknown surface",IF(OR(AND(D907&lt;&gt;"Yes",D907&lt;&gt;"No"),AND(E907&lt;&gt;"Yes",E907&lt;&gt;"No"),AND(F907&lt;&gt;"Yes",F907&lt;&gt;"No")),"Use Yes or No","OK")))))))</f>
      </c>
    </row>
    <row r="908">
      <c r="G908" s="4">
        <f>IF(A908="","",IF(COUNTIF(Venues!$A$2:$A$201,A908)=0,"Unknown venue code",IF(OR(B908="",D908="",E908="",F908=""),"Missing details",IF(LEN(B908)&gt;80,"Name too long",IF(COUNTIFS($A$2:$A$1001,A908,$B$2:$B$1001,B908)&gt;1,"Duplicate court name",IF(AND(C908&lt;&gt;"",C908&lt;&gt;"Hard",C908&lt;&gt;"Synthetic",C908&lt;&gt;"Other",C908&lt;&gt;"Not sure"),"Unknown surface",IF(OR(AND(D908&lt;&gt;"Yes",D908&lt;&gt;"No"),AND(E908&lt;&gt;"Yes",E908&lt;&gt;"No"),AND(F908&lt;&gt;"Yes",F908&lt;&gt;"No")),"Use Yes or No","OK")))))))</f>
      </c>
    </row>
    <row r="909">
      <c r="G909" s="4">
        <f>IF(A909="","",IF(COUNTIF(Venues!$A$2:$A$201,A909)=0,"Unknown venue code",IF(OR(B909="",D909="",E909="",F909=""),"Missing details",IF(LEN(B909)&gt;80,"Name too long",IF(COUNTIFS($A$2:$A$1001,A909,$B$2:$B$1001,B909)&gt;1,"Duplicate court name",IF(AND(C909&lt;&gt;"",C909&lt;&gt;"Hard",C909&lt;&gt;"Synthetic",C909&lt;&gt;"Other",C909&lt;&gt;"Not sure"),"Unknown surface",IF(OR(AND(D909&lt;&gt;"Yes",D909&lt;&gt;"No"),AND(E909&lt;&gt;"Yes",E909&lt;&gt;"No"),AND(F909&lt;&gt;"Yes",F909&lt;&gt;"No")),"Use Yes or No","OK")))))))</f>
      </c>
    </row>
    <row r="910">
      <c r="G910" s="4">
        <f>IF(A910="","",IF(COUNTIF(Venues!$A$2:$A$201,A910)=0,"Unknown venue code",IF(OR(B910="",D910="",E910="",F910=""),"Missing details",IF(LEN(B910)&gt;80,"Name too long",IF(COUNTIFS($A$2:$A$1001,A910,$B$2:$B$1001,B910)&gt;1,"Duplicate court name",IF(AND(C910&lt;&gt;"",C910&lt;&gt;"Hard",C910&lt;&gt;"Synthetic",C910&lt;&gt;"Other",C910&lt;&gt;"Not sure"),"Unknown surface",IF(OR(AND(D910&lt;&gt;"Yes",D910&lt;&gt;"No"),AND(E910&lt;&gt;"Yes",E910&lt;&gt;"No"),AND(F910&lt;&gt;"Yes",F910&lt;&gt;"No")),"Use Yes or No","OK")))))))</f>
      </c>
    </row>
    <row r="911">
      <c r="G911" s="4">
        <f>IF(A911="","",IF(COUNTIF(Venues!$A$2:$A$201,A911)=0,"Unknown venue code",IF(OR(B911="",D911="",E911="",F911=""),"Missing details",IF(LEN(B911)&gt;80,"Name too long",IF(COUNTIFS($A$2:$A$1001,A911,$B$2:$B$1001,B911)&gt;1,"Duplicate court name",IF(AND(C911&lt;&gt;"",C911&lt;&gt;"Hard",C911&lt;&gt;"Synthetic",C911&lt;&gt;"Other",C911&lt;&gt;"Not sure"),"Unknown surface",IF(OR(AND(D911&lt;&gt;"Yes",D911&lt;&gt;"No"),AND(E911&lt;&gt;"Yes",E911&lt;&gt;"No"),AND(F911&lt;&gt;"Yes",F911&lt;&gt;"No")),"Use Yes or No","OK")))))))</f>
      </c>
    </row>
    <row r="912">
      <c r="G912" s="4">
        <f>IF(A912="","",IF(COUNTIF(Venues!$A$2:$A$201,A912)=0,"Unknown venue code",IF(OR(B912="",D912="",E912="",F912=""),"Missing details",IF(LEN(B912)&gt;80,"Name too long",IF(COUNTIFS($A$2:$A$1001,A912,$B$2:$B$1001,B912)&gt;1,"Duplicate court name",IF(AND(C912&lt;&gt;"",C912&lt;&gt;"Hard",C912&lt;&gt;"Synthetic",C912&lt;&gt;"Other",C912&lt;&gt;"Not sure"),"Unknown surface",IF(OR(AND(D912&lt;&gt;"Yes",D912&lt;&gt;"No"),AND(E912&lt;&gt;"Yes",E912&lt;&gt;"No"),AND(F912&lt;&gt;"Yes",F912&lt;&gt;"No")),"Use Yes or No","OK")))))))</f>
      </c>
    </row>
    <row r="913">
      <c r="G913" s="4">
        <f>IF(A913="","",IF(COUNTIF(Venues!$A$2:$A$201,A913)=0,"Unknown venue code",IF(OR(B913="",D913="",E913="",F913=""),"Missing details",IF(LEN(B913)&gt;80,"Name too long",IF(COUNTIFS($A$2:$A$1001,A913,$B$2:$B$1001,B913)&gt;1,"Duplicate court name",IF(AND(C913&lt;&gt;"",C913&lt;&gt;"Hard",C913&lt;&gt;"Synthetic",C913&lt;&gt;"Other",C913&lt;&gt;"Not sure"),"Unknown surface",IF(OR(AND(D913&lt;&gt;"Yes",D913&lt;&gt;"No"),AND(E913&lt;&gt;"Yes",E913&lt;&gt;"No"),AND(F913&lt;&gt;"Yes",F913&lt;&gt;"No")),"Use Yes or No","OK")))))))</f>
      </c>
    </row>
    <row r="914">
      <c r="G914" s="4">
        <f>IF(A914="","",IF(COUNTIF(Venues!$A$2:$A$201,A914)=0,"Unknown venue code",IF(OR(B914="",D914="",E914="",F914=""),"Missing details",IF(LEN(B914)&gt;80,"Name too long",IF(COUNTIFS($A$2:$A$1001,A914,$B$2:$B$1001,B914)&gt;1,"Duplicate court name",IF(AND(C914&lt;&gt;"",C914&lt;&gt;"Hard",C914&lt;&gt;"Synthetic",C914&lt;&gt;"Other",C914&lt;&gt;"Not sure"),"Unknown surface",IF(OR(AND(D914&lt;&gt;"Yes",D914&lt;&gt;"No"),AND(E914&lt;&gt;"Yes",E914&lt;&gt;"No"),AND(F914&lt;&gt;"Yes",F914&lt;&gt;"No")),"Use Yes or No","OK")))))))</f>
      </c>
    </row>
    <row r="915">
      <c r="G915" s="4">
        <f>IF(A915="","",IF(COUNTIF(Venues!$A$2:$A$201,A915)=0,"Unknown venue code",IF(OR(B915="",D915="",E915="",F915=""),"Missing details",IF(LEN(B915)&gt;80,"Name too long",IF(COUNTIFS($A$2:$A$1001,A915,$B$2:$B$1001,B915)&gt;1,"Duplicate court name",IF(AND(C915&lt;&gt;"",C915&lt;&gt;"Hard",C915&lt;&gt;"Synthetic",C915&lt;&gt;"Other",C915&lt;&gt;"Not sure"),"Unknown surface",IF(OR(AND(D915&lt;&gt;"Yes",D915&lt;&gt;"No"),AND(E915&lt;&gt;"Yes",E915&lt;&gt;"No"),AND(F915&lt;&gt;"Yes",F915&lt;&gt;"No")),"Use Yes or No","OK")))))))</f>
      </c>
    </row>
    <row r="916">
      <c r="G916" s="4">
        <f>IF(A916="","",IF(COUNTIF(Venues!$A$2:$A$201,A916)=0,"Unknown venue code",IF(OR(B916="",D916="",E916="",F916=""),"Missing details",IF(LEN(B916)&gt;80,"Name too long",IF(COUNTIFS($A$2:$A$1001,A916,$B$2:$B$1001,B916)&gt;1,"Duplicate court name",IF(AND(C916&lt;&gt;"",C916&lt;&gt;"Hard",C916&lt;&gt;"Synthetic",C916&lt;&gt;"Other",C916&lt;&gt;"Not sure"),"Unknown surface",IF(OR(AND(D916&lt;&gt;"Yes",D916&lt;&gt;"No"),AND(E916&lt;&gt;"Yes",E916&lt;&gt;"No"),AND(F916&lt;&gt;"Yes",F916&lt;&gt;"No")),"Use Yes or No","OK")))))))</f>
      </c>
    </row>
    <row r="917">
      <c r="G917" s="4">
        <f>IF(A917="","",IF(COUNTIF(Venues!$A$2:$A$201,A917)=0,"Unknown venue code",IF(OR(B917="",D917="",E917="",F917=""),"Missing details",IF(LEN(B917)&gt;80,"Name too long",IF(COUNTIFS($A$2:$A$1001,A917,$B$2:$B$1001,B917)&gt;1,"Duplicate court name",IF(AND(C917&lt;&gt;"",C917&lt;&gt;"Hard",C917&lt;&gt;"Synthetic",C917&lt;&gt;"Other",C917&lt;&gt;"Not sure"),"Unknown surface",IF(OR(AND(D917&lt;&gt;"Yes",D917&lt;&gt;"No"),AND(E917&lt;&gt;"Yes",E917&lt;&gt;"No"),AND(F917&lt;&gt;"Yes",F917&lt;&gt;"No")),"Use Yes or No","OK")))))))</f>
      </c>
    </row>
    <row r="918">
      <c r="G918" s="4">
        <f>IF(A918="","",IF(COUNTIF(Venues!$A$2:$A$201,A918)=0,"Unknown venue code",IF(OR(B918="",D918="",E918="",F918=""),"Missing details",IF(LEN(B918)&gt;80,"Name too long",IF(COUNTIFS($A$2:$A$1001,A918,$B$2:$B$1001,B918)&gt;1,"Duplicate court name",IF(AND(C918&lt;&gt;"",C918&lt;&gt;"Hard",C918&lt;&gt;"Synthetic",C918&lt;&gt;"Other",C918&lt;&gt;"Not sure"),"Unknown surface",IF(OR(AND(D918&lt;&gt;"Yes",D918&lt;&gt;"No"),AND(E918&lt;&gt;"Yes",E918&lt;&gt;"No"),AND(F918&lt;&gt;"Yes",F918&lt;&gt;"No")),"Use Yes or No","OK")))))))</f>
      </c>
    </row>
    <row r="919">
      <c r="G919" s="4">
        <f>IF(A919="","",IF(COUNTIF(Venues!$A$2:$A$201,A919)=0,"Unknown venue code",IF(OR(B919="",D919="",E919="",F919=""),"Missing details",IF(LEN(B919)&gt;80,"Name too long",IF(COUNTIFS($A$2:$A$1001,A919,$B$2:$B$1001,B919)&gt;1,"Duplicate court name",IF(AND(C919&lt;&gt;"",C919&lt;&gt;"Hard",C919&lt;&gt;"Synthetic",C919&lt;&gt;"Other",C919&lt;&gt;"Not sure"),"Unknown surface",IF(OR(AND(D919&lt;&gt;"Yes",D919&lt;&gt;"No"),AND(E919&lt;&gt;"Yes",E919&lt;&gt;"No"),AND(F919&lt;&gt;"Yes",F919&lt;&gt;"No")),"Use Yes or No","OK")))))))</f>
      </c>
    </row>
    <row r="920">
      <c r="G920" s="4">
        <f>IF(A920="","",IF(COUNTIF(Venues!$A$2:$A$201,A920)=0,"Unknown venue code",IF(OR(B920="",D920="",E920="",F920=""),"Missing details",IF(LEN(B920)&gt;80,"Name too long",IF(COUNTIFS($A$2:$A$1001,A920,$B$2:$B$1001,B920)&gt;1,"Duplicate court name",IF(AND(C920&lt;&gt;"",C920&lt;&gt;"Hard",C920&lt;&gt;"Synthetic",C920&lt;&gt;"Other",C920&lt;&gt;"Not sure"),"Unknown surface",IF(OR(AND(D920&lt;&gt;"Yes",D920&lt;&gt;"No"),AND(E920&lt;&gt;"Yes",E920&lt;&gt;"No"),AND(F920&lt;&gt;"Yes",F920&lt;&gt;"No")),"Use Yes or No","OK")))))))</f>
      </c>
    </row>
    <row r="921">
      <c r="G921" s="4">
        <f>IF(A921="","",IF(COUNTIF(Venues!$A$2:$A$201,A921)=0,"Unknown venue code",IF(OR(B921="",D921="",E921="",F921=""),"Missing details",IF(LEN(B921)&gt;80,"Name too long",IF(COUNTIFS($A$2:$A$1001,A921,$B$2:$B$1001,B921)&gt;1,"Duplicate court name",IF(AND(C921&lt;&gt;"",C921&lt;&gt;"Hard",C921&lt;&gt;"Synthetic",C921&lt;&gt;"Other",C921&lt;&gt;"Not sure"),"Unknown surface",IF(OR(AND(D921&lt;&gt;"Yes",D921&lt;&gt;"No"),AND(E921&lt;&gt;"Yes",E921&lt;&gt;"No"),AND(F921&lt;&gt;"Yes",F921&lt;&gt;"No")),"Use Yes or No","OK")))))))</f>
      </c>
    </row>
    <row r="922">
      <c r="G922" s="4">
        <f>IF(A922="","",IF(COUNTIF(Venues!$A$2:$A$201,A922)=0,"Unknown venue code",IF(OR(B922="",D922="",E922="",F922=""),"Missing details",IF(LEN(B922)&gt;80,"Name too long",IF(COUNTIFS($A$2:$A$1001,A922,$B$2:$B$1001,B922)&gt;1,"Duplicate court name",IF(AND(C922&lt;&gt;"",C922&lt;&gt;"Hard",C922&lt;&gt;"Synthetic",C922&lt;&gt;"Other",C922&lt;&gt;"Not sure"),"Unknown surface",IF(OR(AND(D922&lt;&gt;"Yes",D922&lt;&gt;"No"),AND(E922&lt;&gt;"Yes",E922&lt;&gt;"No"),AND(F922&lt;&gt;"Yes",F922&lt;&gt;"No")),"Use Yes or No","OK")))))))</f>
      </c>
    </row>
    <row r="923">
      <c r="G923" s="4">
        <f>IF(A923="","",IF(COUNTIF(Venues!$A$2:$A$201,A923)=0,"Unknown venue code",IF(OR(B923="",D923="",E923="",F923=""),"Missing details",IF(LEN(B923)&gt;80,"Name too long",IF(COUNTIFS($A$2:$A$1001,A923,$B$2:$B$1001,B923)&gt;1,"Duplicate court name",IF(AND(C923&lt;&gt;"",C923&lt;&gt;"Hard",C923&lt;&gt;"Synthetic",C923&lt;&gt;"Other",C923&lt;&gt;"Not sure"),"Unknown surface",IF(OR(AND(D923&lt;&gt;"Yes",D923&lt;&gt;"No"),AND(E923&lt;&gt;"Yes",E923&lt;&gt;"No"),AND(F923&lt;&gt;"Yes",F923&lt;&gt;"No")),"Use Yes or No","OK")))))))</f>
      </c>
    </row>
    <row r="924">
      <c r="G924" s="4">
        <f>IF(A924="","",IF(COUNTIF(Venues!$A$2:$A$201,A924)=0,"Unknown venue code",IF(OR(B924="",D924="",E924="",F924=""),"Missing details",IF(LEN(B924)&gt;80,"Name too long",IF(COUNTIFS($A$2:$A$1001,A924,$B$2:$B$1001,B924)&gt;1,"Duplicate court name",IF(AND(C924&lt;&gt;"",C924&lt;&gt;"Hard",C924&lt;&gt;"Synthetic",C924&lt;&gt;"Other",C924&lt;&gt;"Not sure"),"Unknown surface",IF(OR(AND(D924&lt;&gt;"Yes",D924&lt;&gt;"No"),AND(E924&lt;&gt;"Yes",E924&lt;&gt;"No"),AND(F924&lt;&gt;"Yes",F924&lt;&gt;"No")),"Use Yes or No","OK")))))))</f>
      </c>
    </row>
    <row r="925">
      <c r="G925" s="4">
        <f>IF(A925="","",IF(COUNTIF(Venues!$A$2:$A$201,A925)=0,"Unknown venue code",IF(OR(B925="",D925="",E925="",F925=""),"Missing details",IF(LEN(B925)&gt;80,"Name too long",IF(COUNTIFS($A$2:$A$1001,A925,$B$2:$B$1001,B925)&gt;1,"Duplicate court name",IF(AND(C925&lt;&gt;"",C925&lt;&gt;"Hard",C925&lt;&gt;"Synthetic",C925&lt;&gt;"Other",C925&lt;&gt;"Not sure"),"Unknown surface",IF(OR(AND(D925&lt;&gt;"Yes",D925&lt;&gt;"No"),AND(E925&lt;&gt;"Yes",E925&lt;&gt;"No"),AND(F925&lt;&gt;"Yes",F925&lt;&gt;"No")),"Use Yes or No","OK")))))))</f>
      </c>
    </row>
    <row r="926">
      <c r="G926" s="4">
        <f>IF(A926="","",IF(COUNTIF(Venues!$A$2:$A$201,A926)=0,"Unknown venue code",IF(OR(B926="",D926="",E926="",F926=""),"Missing details",IF(LEN(B926)&gt;80,"Name too long",IF(COUNTIFS($A$2:$A$1001,A926,$B$2:$B$1001,B926)&gt;1,"Duplicate court name",IF(AND(C926&lt;&gt;"",C926&lt;&gt;"Hard",C926&lt;&gt;"Synthetic",C926&lt;&gt;"Other",C926&lt;&gt;"Not sure"),"Unknown surface",IF(OR(AND(D926&lt;&gt;"Yes",D926&lt;&gt;"No"),AND(E926&lt;&gt;"Yes",E926&lt;&gt;"No"),AND(F926&lt;&gt;"Yes",F926&lt;&gt;"No")),"Use Yes or No","OK")))))))</f>
      </c>
    </row>
    <row r="927">
      <c r="G927" s="4">
        <f>IF(A927="","",IF(COUNTIF(Venues!$A$2:$A$201,A927)=0,"Unknown venue code",IF(OR(B927="",D927="",E927="",F927=""),"Missing details",IF(LEN(B927)&gt;80,"Name too long",IF(COUNTIFS($A$2:$A$1001,A927,$B$2:$B$1001,B927)&gt;1,"Duplicate court name",IF(AND(C927&lt;&gt;"",C927&lt;&gt;"Hard",C927&lt;&gt;"Synthetic",C927&lt;&gt;"Other",C927&lt;&gt;"Not sure"),"Unknown surface",IF(OR(AND(D927&lt;&gt;"Yes",D927&lt;&gt;"No"),AND(E927&lt;&gt;"Yes",E927&lt;&gt;"No"),AND(F927&lt;&gt;"Yes",F927&lt;&gt;"No")),"Use Yes or No","OK")))))))</f>
      </c>
    </row>
    <row r="928">
      <c r="G928" s="4">
        <f>IF(A928="","",IF(COUNTIF(Venues!$A$2:$A$201,A928)=0,"Unknown venue code",IF(OR(B928="",D928="",E928="",F928=""),"Missing details",IF(LEN(B928)&gt;80,"Name too long",IF(COUNTIFS($A$2:$A$1001,A928,$B$2:$B$1001,B928)&gt;1,"Duplicate court name",IF(AND(C928&lt;&gt;"",C928&lt;&gt;"Hard",C928&lt;&gt;"Synthetic",C928&lt;&gt;"Other",C928&lt;&gt;"Not sure"),"Unknown surface",IF(OR(AND(D928&lt;&gt;"Yes",D928&lt;&gt;"No"),AND(E928&lt;&gt;"Yes",E928&lt;&gt;"No"),AND(F928&lt;&gt;"Yes",F928&lt;&gt;"No")),"Use Yes or No","OK")))))))</f>
      </c>
    </row>
    <row r="929">
      <c r="G929" s="4">
        <f>IF(A929="","",IF(COUNTIF(Venues!$A$2:$A$201,A929)=0,"Unknown venue code",IF(OR(B929="",D929="",E929="",F929=""),"Missing details",IF(LEN(B929)&gt;80,"Name too long",IF(COUNTIFS($A$2:$A$1001,A929,$B$2:$B$1001,B929)&gt;1,"Duplicate court name",IF(AND(C929&lt;&gt;"",C929&lt;&gt;"Hard",C929&lt;&gt;"Synthetic",C929&lt;&gt;"Other",C929&lt;&gt;"Not sure"),"Unknown surface",IF(OR(AND(D929&lt;&gt;"Yes",D929&lt;&gt;"No"),AND(E929&lt;&gt;"Yes",E929&lt;&gt;"No"),AND(F929&lt;&gt;"Yes",F929&lt;&gt;"No")),"Use Yes or No","OK")))))))</f>
      </c>
    </row>
    <row r="930">
      <c r="G930" s="4">
        <f>IF(A930="","",IF(COUNTIF(Venues!$A$2:$A$201,A930)=0,"Unknown venue code",IF(OR(B930="",D930="",E930="",F930=""),"Missing details",IF(LEN(B930)&gt;80,"Name too long",IF(COUNTIFS($A$2:$A$1001,A930,$B$2:$B$1001,B930)&gt;1,"Duplicate court name",IF(AND(C930&lt;&gt;"",C930&lt;&gt;"Hard",C930&lt;&gt;"Synthetic",C930&lt;&gt;"Other",C930&lt;&gt;"Not sure"),"Unknown surface",IF(OR(AND(D930&lt;&gt;"Yes",D930&lt;&gt;"No"),AND(E930&lt;&gt;"Yes",E930&lt;&gt;"No"),AND(F930&lt;&gt;"Yes",F930&lt;&gt;"No")),"Use Yes or No","OK")))))))</f>
      </c>
    </row>
    <row r="931">
      <c r="G931" s="4">
        <f>IF(A931="","",IF(COUNTIF(Venues!$A$2:$A$201,A931)=0,"Unknown venue code",IF(OR(B931="",D931="",E931="",F931=""),"Missing details",IF(LEN(B931)&gt;80,"Name too long",IF(COUNTIFS($A$2:$A$1001,A931,$B$2:$B$1001,B931)&gt;1,"Duplicate court name",IF(AND(C931&lt;&gt;"",C931&lt;&gt;"Hard",C931&lt;&gt;"Synthetic",C931&lt;&gt;"Other",C931&lt;&gt;"Not sure"),"Unknown surface",IF(OR(AND(D931&lt;&gt;"Yes",D931&lt;&gt;"No"),AND(E931&lt;&gt;"Yes",E931&lt;&gt;"No"),AND(F931&lt;&gt;"Yes",F931&lt;&gt;"No")),"Use Yes or No","OK")))))))</f>
      </c>
    </row>
    <row r="932">
      <c r="G932" s="4">
        <f>IF(A932="","",IF(COUNTIF(Venues!$A$2:$A$201,A932)=0,"Unknown venue code",IF(OR(B932="",D932="",E932="",F932=""),"Missing details",IF(LEN(B932)&gt;80,"Name too long",IF(COUNTIFS($A$2:$A$1001,A932,$B$2:$B$1001,B932)&gt;1,"Duplicate court name",IF(AND(C932&lt;&gt;"",C932&lt;&gt;"Hard",C932&lt;&gt;"Synthetic",C932&lt;&gt;"Other",C932&lt;&gt;"Not sure"),"Unknown surface",IF(OR(AND(D932&lt;&gt;"Yes",D932&lt;&gt;"No"),AND(E932&lt;&gt;"Yes",E932&lt;&gt;"No"),AND(F932&lt;&gt;"Yes",F932&lt;&gt;"No")),"Use Yes or No","OK")))))))</f>
      </c>
    </row>
    <row r="933">
      <c r="G933" s="4">
        <f>IF(A933="","",IF(COUNTIF(Venues!$A$2:$A$201,A933)=0,"Unknown venue code",IF(OR(B933="",D933="",E933="",F933=""),"Missing details",IF(LEN(B933)&gt;80,"Name too long",IF(COUNTIFS($A$2:$A$1001,A933,$B$2:$B$1001,B933)&gt;1,"Duplicate court name",IF(AND(C933&lt;&gt;"",C933&lt;&gt;"Hard",C933&lt;&gt;"Synthetic",C933&lt;&gt;"Other",C933&lt;&gt;"Not sure"),"Unknown surface",IF(OR(AND(D933&lt;&gt;"Yes",D933&lt;&gt;"No"),AND(E933&lt;&gt;"Yes",E933&lt;&gt;"No"),AND(F933&lt;&gt;"Yes",F933&lt;&gt;"No")),"Use Yes or No","OK")))))))</f>
      </c>
    </row>
    <row r="934">
      <c r="G934" s="4">
        <f>IF(A934="","",IF(COUNTIF(Venues!$A$2:$A$201,A934)=0,"Unknown venue code",IF(OR(B934="",D934="",E934="",F934=""),"Missing details",IF(LEN(B934)&gt;80,"Name too long",IF(COUNTIFS($A$2:$A$1001,A934,$B$2:$B$1001,B934)&gt;1,"Duplicate court name",IF(AND(C934&lt;&gt;"",C934&lt;&gt;"Hard",C934&lt;&gt;"Synthetic",C934&lt;&gt;"Other",C934&lt;&gt;"Not sure"),"Unknown surface",IF(OR(AND(D934&lt;&gt;"Yes",D934&lt;&gt;"No"),AND(E934&lt;&gt;"Yes",E934&lt;&gt;"No"),AND(F934&lt;&gt;"Yes",F934&lt;&gt;"No")),"Use Yes or No","OK")))))))</f>
      </c>
    </row>
    <row r="935">
      <c r="G935" s="4">
        <f>IF(A935="","",IF(COUNTIF(Venues!$A$2:$A$201,A935)=0,"Unknown venue code",IF(OR(B935="",D935="",E935="",F935=""),"Missing details",IF(LEN(B935)&gt;80,"Name too long",IF(COUNTIFS($A$2:$A$1001,A935,$B$2:$B$1001,B935)&gt;1,"Duplicate court name",IF(AND(C935&lt;&gt;"",C935&lt;&gt;"Hard",C935&lt;&gt;"Synthetic",C935&lt;&gt;"Other",C935&lt;&gt;"Not sure"),"Unknown surface",IF(OR(AND(D935&lt;&gt;"Yes",D935&lt;&gt;"No"),AND(E935&lt;&gt;"Yes",E935&lt;&gt;"No"),AND(F935&lt;&gt;"Yes",F935&lt;&gt;"No")),"Use Yes or No","OK")))))))</f>
      </c>
    </row>
    <row r="936">
      <c r="G936" s="4">
        <f>IF(A936="","",IF(COUNTIF(Venues!$A$2:$A$201,A936)=0,"Unknown venue code",IF(OR(B936="",D936="",E936="",F936=""),"Missing details",IF(LEN(B936)&gt;80,"Name too long",IF(COUNTIFS($A$2:$A$1001,A936,$B$2:$B$1001,B936)&gt;1,"Duplicate court name",IF(AND(C936&lt;&gt;"",C936&lt;&gt;"Hard",C936&lt;&gt;"Synthetic",C936&lt;&gt;"Other",C936&lt;&gt;"Not sure"),"Unknown surface",IF(OR(AND(D936&lt;&gt;"Yes",D936&lt;&gt;"No"),AND(E936&lt;&gt;"Yes",E936&lt;&gt;"No"),AND(F936&lt;&gt;"Yes",F936&lt;&gt;"No")),"Use Yes or No","OK")))))))</f>
      </c>
    </row>
    <row r="937">
      <c r="G937" s="4">
        <f>IF(A937="","",IF(COUNTIF(Venues!$A$2:$A$201,A937)=0,"Unknown venue code",IF(OR(B937="",D937="",E937="",F937=""),"Missing details",IF(LEN(B937)&gt;80,"Name too long",IF(COUNTIFS($A$2:$A$1001,A937,$B$2:$B$1001,B937)&gt;1,"Duplicate court name",IF(AND(C937&lt;&gt;"",C937&lt;&gt;"Hard",C937&lt;&gt;"Synthetic",C937&lt;&gt;"Other",C937&lt;&gt;"Not sure"),"Unknown surface",IF(OR(AND(D937&lt;&gt;"Yes",D937&lt;&gt;"No"),AND(E937&lt;&gt;"Yes",E937&lt;&gt;"No"),AND(F937&lt;&gt;"Yes",F937&lt;&gt;"No")),"Use Yes or No","OK")))))))</f>
      </c>
    </row>
    <row r="938">
      <c r="G938" s="4">
        <f>IF(A938="","",IF(COUNTIF(Venues!$A$2:$A$201,A938)=0,"Unknown venue code",IF(OR(B938="",D938="",E938="",F938=""),"Missing details",IF(LEN(B938)&gt;80,"Name too long",IF(COUNTIFS($A$2:$A$1001,A938,$B$2:$B$1001,B938)&gt;1,"Duplicate court name",IF(AND(C938&lt;&gt;"",C938&lt;&gt;"Hard",C938&lt;&gt;"Synthetic",C938&lt;&gt;"Other",C938&lt;&gt;"Not sure"),"Unknown surface",IF(OR(AND(D938&lt;&gt;"Yes",D938&lt;&gt;"No"),AND(E938&lt;&gt;"Yes",E938&lt;&gt;"No"),AND(F938&lt;&gt;"Yes",F938&lt;&gt;"No")),"Use Yes or No","OK")))))))</f>
      </c>
    </row>
    <row r="939">
      <c r="G939" s="4">
        <f>IF(A939="","",IF(COUNTIF(Venues!$A$2:$A$201,A939)=0,"Unknown venue code",IF(OR(B939="",D939="",E939="",F939=""),"Missing details",IF(LEN(B939)&gt;80,"Name too long",IF(COUNTIFS($A$2:$A$1001,A939,$B$2:$B$1001,B939)&gt;1,"Duplicate court name",IF(AND(C939&lt;&gt;"",C939&lt;&gt;"Hard",C939&lt;&gt;"Synthetic",C939&lt;&gt;"Other",C939&lt;&gt;"Not sure"),"Unknown surface",IF(OR(AND(D939&lt;&gt;"Yes",D939&lt;&gt;"No"),AND(E939&lt;&gt;"Yes",E939&lt;&gt;"No"),AND(F939&lt;&gt;"Yes",F939&lt;&gt;"No")),"Use Yes or No","OK")))))))</f>
      </c>
    </row>
    <row r="940">
      <c r="G940" s="4">
        <f>IF(A940="","",IF(COUNTIF(Venues!$A$2:$A$201,A940)=0,"Unknown venue code",IF(OR(B940="",D940="",E940="",F940=""),"Missing details",IF(LEN(B940)&gt;80,"Name too long",IF(COUNTIFS($A$2:$A$1001,A940,$B$2:$B$1001,B940)&gt;1,"Duplicate court name",IF(AND(C940&lt;&gt;"",C940&lt;&gt;"Hard",C940&lt;&gt;"Synthetic",C940&lt;&gt;"Other",C940&lt;&gt;"Not sure"),"Unknown surface",IF(OR(AND(D940&lt;&gt;"Yes",D940&lt;&gt;"No"),AND(E940&lt;&gt;"Yes",E940&lt;&gt;"No"),AND(F940&lt;&gt;"Yes",F940&lt;&gt;"No")),"Use Yes or No","OK")))))))</f>
      </c>
    </row>
    <row r="941">
      <c r="G941" s="4">
        <f>IF(A941="","",IF(COUNTIF(Venues!$A$2:$A$201,A941)=0,"Unknown venue code",IF(OR(B941="",D941="",E941="",F941=""),"Missing details",IF(LEN(B941)&gt;80,"Name too long",IF(COUNTIFS($A$2:$A$1001,A941,$B$2:$B$1001,B941)&gt;1,"Duplicate court name",IF(AND(C941&lt;&gt;"",C941&lt;&gt;"Hard",C941&lt;&gt;"Synthetic",C941&lt;&gt;"Other",C941&lt;&gt;"Not sure"),"Unknown surface",IF(OR(AND(D941&lt;&gt;"Yes",D941&lt;&gt;"No"),AND(E941&lt;&gt;"Yes",E941&lt;&gt;"No"),AND(F941&lt;&gt;"Yes",F941&lt;&gt;"No")),"Use Yes or No","OK")))))))</f>
      </c>
    </row>
    <row r="942">
      <c r="G942" s="4">
        <f>IF(A942="","",IF(COUNTIF(Venues!$A$2:$A$201,A942)=0,"Unknown venue code",IF(OR(B942="",D942="",E942="",F942=""),"Missing details",IF(LEN(B942)&gt;80,"Name too long",IF(COUNTIFS($A$2:$A$1001,A942,$B$2:$B$1001,B942)&gt;1,"Duplicate court name",IF(AND(C942&lt;&gt;"",C942&lt;&gt;"Hard",C942&lt;&gt;"Synthetic",C942&lt;&gt;"Other",C942&lt;&gt;"Not sure"),"Unknown surface",IF(OR(AND(D942&lt;&gt;"Yes",D942&lt;&gt;"No"),AND(E942&lt;&gt;"Yes",E942&lt;&gt;"No"),AND(F942&lt;&gt;"Yes",F942&lt;&gt;"No")),"Use Yes or No","OK")))))))</f>
      </c>
    </row>
    <row r="943">
      <c r="G943" s="4">
        <f>IF(A943="","",IF(COUNTIF(Venues!$A$2:$A$201,A943)=0,"Unknown venue code",IF(OR(B943="",D943="",E943="",F943=""),"Missing details",IF(LEN(B943)&gt;80,"Name too long",IF(COUNTIFS($A$2:$A$1001,A943,$B$2:$B$1001,B943)&gt;1,"Duplicate court name",IF(AND(C943&lt;&gt;"",C943&lt;&gt;"Hard",C943&lt;&gt;"Synthetic",C943&lt;&gt;"Other",C943&lt;&gt;"Not sure"),"Unknown surface",IF(OR(AND(D943&lt;&gt;"Yes",D943&lt;&gt;"No"),AND(E943&lt;&gt;"Yes",E943&lt;&gt;"No"),AND(F943&lt;&gt;"Yes",F943&lt;&gt;"No")),"Use Yes or No","OK")))))))</f>
      </c>
    </row>
    <row r="944">
      <c r="G944" s="4">
        <f>IF(A944="","",IF(COUNTIF(Venues!$A$2:$A$201,A944)=0,"Unknown venue code",IF(OR(B944="",D944="",E944="",F944=""),"Missing details",IF(LEN(B944)&gt;80,"Name too long",IF(COUNTIFS($A$2:$A$1001,A944,$B$2:$B$1001,B944)&gt;1,"Duplicate court name",IF(AND(C944&lt;&gt;"",C944&lt;&gt;"Hard",C944&lt;&gt;"Synthetic",C944&lt;&gt;"Other",C944&lt;&gt;"Not sure"),"Unknown surface",IF(OR(AND(D944&lt;&gt;"Yes",D944&lt;&gt;"No"),AND(E944&lt;&gt;"Yes",E944&lt;&gt;"No"),AND(F944&lt;&gt;"Yes",F944&lt;&gt;"No")),"Use Yes or No","OK")))))))</f>
      </c>
    </row>
    <row r="945">
      <c r="G945" s="4">
        <f>IF(A945="","",IF(COUNTIF(Venues!$A$2:$A$201,A945)=0,"Unknown venue code",IF(OR(B945="",D945="",E945="",F945=""),"Missing details",IF(LEN(B945)&gt;80,"Name too long",IF(COUNTIFS($A$2:$A$1001,A945,$B$2:$B$1001,B945)&gt;1,"Duplicate court name",IF(AND(C945&lt;&gt;"",C945&lt;&gt;"Hard",C945&lt;&gt;"Synthetic",C945&lt;&gt;"Other",C945&lt;&gt;"Not sure"),"Unknown surface",IF(OR(AND(D945&lt;&gt;"Yes",D945&lt;&gt;"No"),AND(E945&lt;&gt;"Yes",E945&lt;&gt;"No"),AND(F945&lt;&gt;"Yes",F945&lt;&gt;"No")),"Use Yes or No","OK")))))))</f>
      </c>
    </row>
    <row r="946">
      <c r="G946" s="4">
        <f>IF(A946="","",IF(COUNTIF(Venues!$A$2:$A$201,A946)=0,"Unknown venue code",IF(OR(B946="",D946="",E946="",F946=""),"Missing details",IF(LEN(B946)&gt;80,"Name too long",IF(COUNTIFS($A$2:$A$1001,A946,$B$2:$B$1001,B946)&gt;1,"Duplicate court name",IF(AND(C946&lt;&gt;"",C946&lt;&gt;"Hard",C946&lt;&gt;"Synthetic",C946&lt;&gt;"Other",C946&lt;&gt;"Not sure"),"Unknown surface",IF(OR(AND(D946&lt;&gt;"Yes",D946&lt;&gt;"No"),AND(E946&lt;&gt;"Yes",E946&lt;&gt;"No"),AND(F946&lt;&gt;"Yes",F946&lt;&gt;"No")),"Use Yes or No","OK")))))))</f>
      </c>
    </row>
    <row r="947">
      <c r="G947" s="4">
        <f>IF(A947="","",IF(COUNTIF(Venues!$A$2:$A$201,A947)=0,"Unknown venue code",IF(OR(B947="",D947="",E947="",F947=""),"Missing details",IF(LEN(B947)&gt;80,"Name too long",IF(COUNTIFS($A$2:$A$1001,A947,$B$2:$B$1001,B947)&gt;1,"Duplicate court name",IF(AND(C947&lt;&gt;"",C947&lt;&gt;"Hard",C947&lt;&gt;"Synthetic",C947&lt;&gt;"Other",C947&lt;&gt;"Not sure"),"Unknown surface",IF(OR(AND(D947&lt;&gt;"Yes",D947&lt;&gt;"No"),AND(E947&lt;&gt;"Yes",E947&lt;&gt;"No"),AND(F947&lt;&gt;"Yes",F947&lt;&gt;"No")),"Use Yes or No","OK")))))))</f>
      </c>
    </row>
    <row r="948">
      <c r="G948" s="4">
        <f>IF(A948="","",IF(COUNTIF(Venues!$A$2:$A$201,A948)=0,"Unknown venue code",IF(OR(B948="",D948="",E948="",F948=""),"Missing details",IF(LEN(B948)&gt;80,"Name too long",IF(COUNTIFS($A$2:$A$1001,A948,$B$2:$B$1001,B948)&gt;1,"Duplicate court name",IF(AND(C948&lt;&gt;"",C948&lt;&gt;"Hard",C948&lt;&gt;"Synthetic",C948&lt;&gt;"Other",C948&lt;&gt;"Not sure"),"Unknown surface",IF(OR(AND(D948&lt;&gt;"Yes",D948&lt;&gt;"No"),AND(E948&lt;&gt;"Yes",E948&lt;&gt;"No"),AND(F948&lt;&gt;"Yes",F948&lt;&gt;"No")),"Use Yes or No","OK")))))))</f>
      </c>
    </row>
    <row r="949">
      <c r="G949" s="4">
        <f>IF(A949="","",IF(COUNTIF(Venues!$A$2:$A$201,A949)=0,"Unknown venue code",IF(OR(B949="",D949="",E949="",F949=""),"Missing details",IF(LEN(B949)&gt;80,"Name too long",IF(COUNTIFS($A$2:$A$1001,A949,$B$2:$B$1001,B949)&gt;1,"Duplicate court name",IF(AND(C949&lt;&gt;"",C949&lt;&gt;"Hard",C949&lt;&gt;"Synthetic",C949&lt;&gt;"Other",C949&lt;&gt;"Not sure"),"Unknown surface",IF(OR(AND(D949&lt;&gt;"Yes",D949&lt;&gt;"No"),AND(E949&lt;&gt;"Yes",E949&lt;&gt;"No"),AND(F949&lt;&gt;"Yes",F949&lt;&gt;"No")),"Use Yes or No","OK")))))))</f>
      </c>
    </row>
    <row r="950">
      <c r="G950" s="4">
        <f>IF(A950="","",IF(COUNTIF(Venues!$A$2:$A$201,A950)=0,"Unknown venue code",IF(OR(B950="",D950="",E950="",F950=""),"Missing details",IF(LEN(B950)&gt;80,"Name too long",IF(COUNTIFS($A$2:$A$1001,A950,$B$2:$B$1001,B950)&gt;1,"Duplicate court name",IF(AND(C950&lt;&gt;"",C950&lt;&gt;"Hard",C950&lt;&gt;"Synthetic",C950&lt;&gt;"Other",C950&lt;&gt;"Not sure"),"Unknown surface",IF(OR(AND(D950&lt;&gt;"Yes",D950&lt;&gt;"No"),AND(E950&lt;&gt;"Yes",E950&lt;&gt;"No"),AND(F950&lt;&gt;"Yes",F950&lt;&gt;"No")),"Use Yes or No","OK")))))))</f>
      </c>
    </row>
    <row r="951">
      <c r="G951" s="4">
        <f>IF(A951="","",IF(COUNTIF(Venues!$A$2:$A$201,A951)=0,"Unknown venue code",IF(OR(B951="",D951="",E951="",F951=""),"Missing details",IF(LEN(B951)&gt;80,"Name too long",IF(COUNTIFS($A$2:$A$1001,A951,$B$2:$B$1001,B951)&gt;1,"Duplicate court name",IF(AND(C951&lt;&gt;"",C951&lt;&gt;"Hard",C951&lt;&gt;"Synthetic",C951&lt;&gt;"Other",C951&lt;&gt;"Not sure"),"Unknown surface",IF(OR(AND(D951&lt;&gt;"Yes",D951&lt;&gt;"No"),AND(E951&lt;&gt;"Yes",E951&lt;&gt;"No"),AND(F951&lt;&gt;"Yes",F951&lt;&gt;"No")),"Use Yes or No","OK")))))))</f>
      </c>
    </row>
    <row r="952">
      <c r="G952" s="4">
        <f>IF(A952="","",IF(COUNTIF(Venues!$A$2:$A$201,A952)=0,"Unknown venue code",IF(OR(B952="",D952="",E952="",F952=""),"Missing details",IF(LEN(B952)&gt;80,"Name too long",IF(COUNTIFS($A$2:$A$1001,A952,$B$2:$B$1001,B952)&gt;1,"Duplicate court name",IF(AND(C952&lt;&gt;"",C952&lt;&gt;"Hard",C952&lt;&gt;"Synthetic",C952&lt;&gt;"Other",C952&lt;&gt;"Not sure"),"Unknown surface",IF(OR(AND(D952&lt;&gt;"Yes",D952&lt;&gt;"No"),AND(E952&lt;&gt;"Yes",E952&lt;&gt;"No"),AND(F952&lt;&gt;"Yes",F952&lt;&gt;"No")),"Use Yes or No","OK")))))))</f>
      </c>
    </row>
    <row r="953">
      <c r="G953" s="4">
        <f>IF(A953="","",IF(COUNTIF(Venues!$A$2:$A$201,A953)=0,"Unknown venue code",IF(OR(B953="",D953="",E953="",F953=""),"Missing details",IF(LEN(B953)&gt;80,"Name too long",IF(COUNTIFS($A$2:$A$1001,A953,$B$2:$B$1001,B953)&gt;1,"Duplicate court name",IF(AND(C953&lt;&gt;"",C953&lt;&gt;"Hard",C953&lt;&gt;"Synthetic",C953&lt;&gt;"Other",C953&lt;&gt;"Not sure"),"Unknown surface",IF(OR(AND(D953&lt;&gt;"Yes",D953&lt;&gt;"No"),AND(E953&lt;&gt;"Yes",E953&lt;&gt;"No"),AND(F953&lt;&gt;"Yes",F953&lt;&gt;"No")),"Use Yes or No","OK")))))))</f>
      </c>
    </row>
    <row r="954">
      <c r="G954" s="4">
        <f>IF(A954="","",IF(COUNTIF(Venues!$A$2:$A$201,A954)=0,"Unknown venue code",IF(OR(B954="",D954="",E954="",F954=""),"Missing details",IF(LEN(B954)&gt;80,"Name too long",IF(COUNTIFS($A$2:$A$1001,A954,$B$2:$B$1001,B954)&gt;1,"Duplicate court name",IF(AND(C954&lt;&gt;"",C954&lt;&gt;"Hard",C954&lt;&gt;"Synthetic",C954&lt;&gt;"Other",C954&lt;&gt;"Not sure"),"Unknown surface",IF(OR(AND(D954&lt;&gt;"Yes",D954&lt;&gt;"No"),AND(E954&lt;&gt;"Yes",E954&lt;&gt;"No"),AND(F954&lt;&gt;"Yes",F954&lt;&gt;"No")),"Use Yes or No","OK")))))))</f>
      </c>
    </row>
    <row r="955">
      <c r="G955" s="4">
        <f>IF(A955="","",IF(COUNTIF(Venues!$A$2:$A$201,A955)=0,"Unknown venue code",IF(OR(B955="",D955="",E955="",F955=""),"Missing details",IF(LEN(B955)&gt;80,"Name too long",IF(COUNTIFS($A$2:$A$1001,A955,$B$2:$B$1001,B955)&gt;1,"Duplicate court name",IF(AND(C955&lt;&gt;"",C955&lt;&gt;"Hard",C955&lt;&gt;"Synthetic",C955&lt;&gt;"Other",C955&lt;&gt;"Not sure"),"Unknown surface",IF(OR(AND(D955&lt;&gt;"Yes",D955&lt;&gt;"No"),AND(E955&lt;&gt;"Yes",E955&lt;&gt;"No"),AND(F955&lt;&gt;"Yes",F955&lt;&gt;"No")),"Use Yes or No","OK")))))))</f>
      </c>
    </row>
    <row r="956">
      <c r="G956" s="4">
        <f>IF(A956="","",IF(COUNTIF(Venues!$A$2:$A$201,A956)=0,"Unknown venue code",IF(OR(B956="",D956="",E956="",F956=""),"Missing details",IF(LEN(B956)&gt;80,"Name too long",IF(COUNTIFS($A$2:$A$1001,A956,$B$2:$B$1001,B956)&gt;1,"Duplicate court name",IF(AND(C956&lt;&gt;"",C956&lt;&gt;"Hard",C956&lt;&gt;"Synthetic",C956&lt;&gt;"Other",C956&lt;&gt;"Not sure"),"Unknown surface",IF(OR(AND(D956&lt;&gt;"Yes",D956&lt;&gt;"No"),AND(E956&lt;&gt;"Yes",E956&lt;&gt;"No"),AND(F956&lt;&gt;"Yes",F956&lt;&gt;"No")),"Use Yes or No","OK")))))))</f>
      </c>
    </row>
    <row r="957">
      <c r="G957" s="4">
        <f>IF(A957="","",IF(COUNTIF(Venues!$A$2:$A$201,A957)=0,"Unknown venue code",IF(OR(B957="",D957="",E957="",F957=""),"Missing details",IF(LEN(B957)&gt;80,"Name too long",IF(COUNTIFS($A$2:$A$1001,A957,$B$2:$B$1001,B957)&gt;1,"Duplicate court name",IF(AND(C957&lt;&gt;"",C957&lt;&gt;"Hard",C957&lt;&gt;"Synthetic",C957&lt;&gt;"Other",C957&lt;&gt;"Not sure"),"Unknown surface",IF(OR(AND(D957&lt;&gt;"Yes",D957&lt;&gt;"No"),AND(E957&lt;&gt;"Yes",E957&lt;&gt;"No"),AND(F957&lt;&gt;"Yes",F957&lt;&gt;"No")),"Use Yes or No","OK")))))))</f>
      </c>
    </row>
    <row r="958">
      <c r="G958" s="4">
        <f>IF(A958="","",IF(COUNTIF(Venues!$A$2:$A$201,A958)=0,"Unknown venue code",IF(OR(B958="",D958="",E958="",F958=""),"Missing details",IF(LEN(B958)&gt;80,"Name too long",IF(COUNTIFS($A$2:$A$1001,A958,$B$2:$B$1001,B958)&gt;1,"Duplicate court name",IF(AND(C958&lt;&gt;"",C958&lt;&gt;"Hard",C958&lt;&gt;"Synthetic",C958&lt;&gt;"Other",C958&lt;&gt;"Not sure"),"Unknown surface",IF(OR(AND(D958&lt;&gt;"Yes",D958&lt;&gt;"No"),AND(E958&lt;&gt;"Yes",E958&lt;&gt;"No"),AND(F958&lt;&gt;"Yes",F958&lt;&gt;"No")),"Use Yes or No","OK")))))))</f>
      </c>
    </row>
    <row r="959">
      <c r="G959" s="4">
        <f>IF(A959="","",IF(COUNTIF(Venues!$A$2:$A$201,A959)=0,"Unknown venue code",IF(OR(B959="",D959="",E959="",F959=""),"Missing details",IF(LEN(B959)&gt;80,"Name too long",IF(COUNTIFS($A$2:$A$1001,A959,$B$2:$B$1001,B959)&gt;1,"Duplicate court name",IF(AND(C959&lt;&gt;"",C959&lt;&gt;"Hard",C959&lt;&gt;"Synthetic",C959&lt;&gt;"Other",C959&lt;&gt;"Not sure"),"Unknown surface",IF(OR(AND(D959&lt;&gt;"Yes",D959&lt;&gt;"No"),AND(E959&lt;&gt;"Yes",E959&lt;&gt;"No"),AND(F959&lt;&gt;"Yes",F959&lt;&gt;"No")),"Use Yes or No","OK")))))))</f>
      </c>
    </row>
    <row r="960">
      <c r="G960" s="4">
        <f>IF(A960="","",IF(COUNTIF(Venues!$A$2:$A$201,A960)=0,"Unknown venue code",IF(OR(B960="",D960="",E960="",F960=""),"Missing details",IF(LEN(B960)&gt;80,"Name too long",IF(COUNTIFS($A$2:$A$1001,A960,$B$2:$B$1001,B960)&gt;1,"Duplicate court name",IF(AND(C960&lt;&gt;"",C960&lt;&gt;"Hard",C960&lt;&gt;"Synthetic",C960&lt;&gt;"Other",C960&lt;&gt;"Not sure"),"Unknown surface",IF(OR(AND(D960&lt;&gt;"Yes",D960&lt;&gt;"No"),AND(E960&lt;&gt;"Yes",E960&lt;&gt;"No"),AND(F960&lt;&gt;"Yes",F960&lt;&gt;"No")),"Use Yes or No","OK")))))))</f>
      </c>
    </row>
    <row r="961">
      <c r="G961" s="4">
        <f>IF(A961="","",IF(COUNTIF(Venues!$A$2:$A$201,A961)=0,"Unknown venue code",IF(OR(B961="",D961="",E961="",F961=""),"Missing details",IF(LEN(B961)&gt;80,"Name too long",IF(COUNTIFS($A$2:$A$1001,A961,$B$2:$B$1001,B961)&gt;1,"Duplicate court name",IF(AND(C961&lt;&gt;"",C961&lt;&gt;"Hard",C961&lt;&gt;"Synthetic",C961&lt;&gt;"Other",C961&lt;&gt;"Not sure"),"Unknown surface",IF(OR(AND(D961&lt;&gt;"Yes",D961&lt;&gt;"No"),AND(E961&lt;&gt;"Yes",E961&lt;&gt;"No"),AND(F961&lt;&gt;"Yes",F961&lt;&gt;"No")),"Use Yes or No","OK")))))))</f>
      </c>
    </row>
    <row r="962">
      <c r="G962" s="4">
        <f>IF(A962="","",IF(COUNTIF(Venues!$A$2:$A$201,A962)=0,"Unknown venue code",IF(OR(B962="",D962="",E962="",F962=""),"Missing details",IF(LEN(B962)&gt;80,"Name too long",IF(COUNTIFS($A$2:$A$1001,A962,$B$2:$B$1001,B962)&gt;1,"Duplicate court name",IF(AND(C962&lt;&gt;"",C962&lt;&gt;"Hard",C962&lt;&gt;"Synthetic",C962&lt;&gt;"Other",C962&lt;&gt;"Not sure"),"Unknown surface",IF(OR(AND(D962&lt;&gt;"Yes",D962&lt;&gt;"No"),AND(E962&lt;&gt;"Yes",E962&lt;&gt;"No"),AND(F962&lt;&gt;"Yes",F962&lt;&gt;"No")),"Use Yes or No","OK")))))))</f>
      </c>
    </row>
    <row r="963">
      <c r="G963" s="4">
        <f>IF(A963="","",IF(COUNTIF(Venues!$A$2:$A$201,A963)=0,"Unknown venue code",IF(OR(B963="",D963="",E963="",F963=""),"Missing details",IF(LEN(B963)&gt;80,"Name too long",IF(COUNTIFS($A$2:$A$1001,A963,$B$2:$B$1001,B963)&gt;1,"Duplicate court name",IF(AND(C963&lt;&gt;"",C963&lt;&gt;"Hard",C963&lt;&gt;"Synthetic",C963&lt;&gt;"Other",C963&lt;&gt;"Not sure"),"Unknown surface",IF(OR(AND(D963&lt;&gt;"Yes",D963&lt;&gt;"No"),AND(E963&lt;&gt;"Yes",E963&lt;&gt;"No"),AND(F963&lt;&gt;"Yes",F963&lt;&gt;"No")),"Use Yes or No","OK")))))))</f>
      </c>
    </row>
    <row r="964">
      <c r="G964" s="4">
        <f>IF(A964="","",IF(COUNTIF(Venues!$A$2:$A$201,A964)=0,"Unknown venue code",IF(OR(B964="",D964="",E964="",F964=""),"Missing details",IF(LEN(B964)&gt;80,"Name too long",IF(COUNTIFS($A$2:$A$1001,A964,$B$2:$B$1001,B964)&gt;1,"Duplicate court name",IF(AND(C964&lt;&gt;"",C964&lt;&gt;"Hard",C964&lt;&gt;"Synthetic",C964&lt;&gt;"Other",C964&lt;&gt;"Not sure"),"Unknown surface",IF(OR(AND(D964&lt;&gt;"Yes",D964&lt;&gt;"No"),AND(E964&lt;&gt;"Yes",E964&lt;&gt;"No"),AND(F964&lt;&gt;"Yes",F964&lt;&gt;"No")),"Use Yes or No","OK")))))))</f>
      </c>
    </row>
    <row r="965">
      <c r="G965" s="4">
        <f>IF(A965="","",IF(COUNTIF(Venues!$A$2:$A$201,A965)=0,"Unknown venue code",IF(OR(B965="",D965="",E965="",F965=""),"Missing details",IF(LEN(B965)&gt;80,"Name too long",IF(COUNTIFS($A$2:$A$1001,A965,$B$2:$B$1001,B965)&gt;1,"Duplicate court name",IF(AND(C965&lt;&gt;"",C965&lt;&gt;"Hard",C965&lt;&gt;"Synthetic",C965&lt;&gt;"Other",C965&lt;&gt;"Not sure"),"Unknown surface",IF(OR(AND(D965&lt;&gt;"Yes",D965&lt;&gt;"No"),AND(E965&lt;&gt;"Yes",E965&lt;&gt;"No"),AND(F965&lt;&gt;"Yes",F965&lt;&gt;"No")),"Use Yes or No","OK")))))))</f>
      </c>
    </row>
    <row r="966">
      <c r="G966" s="4">
        <f>IF(A966="","",IF(COUNTIF(Venues!$A$2:$A$201,A966)=0,"Unknown venue code",IF(OR(B966="",D966="",E966="",F966=""),"Missing details",IF(LEN(B966)&gt;80,"Name too long",IF(COUNTIFS($A$2:$A$1001,A966,$B$2:$B$1001,B966)&gt;1,"Duplicate court name",IF(AND(C966&lt;&gt;"",C966&lt;&gt;"Hard",C966&lt;&gt;"Synthetic",C966&lt;&gt;"Other",C966&lt;&gt;"Not sure"),"Unknown surface",IF(OR(AND(D966&lt;&gt;"Yes",D966&lt;&gt;"No"),AND(E966&lt;&gt;"Yes",E966&lt;&gt;"No"),AND(F966&lt;&gt;"Yes",F966&lt;&gt;"No")),"Use Yes or No","OK")))))))</f>
      </c>
    </row>
    <row r="967">
      <c r="G967" s="4">
        <f>IF(A967="","",IF(COUNTIF(Venues!$A$2:$A$201,A967)=0,"Unknown venue code",IF(OR(B967="",D967="",E967="",F967=""),"Missing details",IF(LEN(B967)&gt;80,"Name too long",IF(COUNTIFS($A$2:$A$1001,A967,$B$2:$B$1001,B967)&gt;1,"Duplicate court name",IF(AND(C967&lt;&gt;"",C967&lt;&gt;"Hard",C967&lt;&gt;"Synthetic",C967&lt;&gt;"Other",C967&lt;&gt;"Not sure"),"Unknown surface",IF(OR(AND(D967&lt;&gt;"Yes",D967&lt;&gt;"No"),AND(E967&lt;&gt;"Yes",E967&lt;&gt;"No"),AND(F967&lt;&gt;"Yes",F967&lt;&gt;"No")),"Use Yes or No","OK")))))))</f>
      </c>
    </row>
    <row r="968">
      <c r="G968" s="4">
        <f>IF(A968="","",IF(COUNTIF(Venues!$A$2:$A$201,A968)=0,"Unknown venue code",IF(OR(B968="",D968="",E968="",F968=""),"Missing details",IF(LEN(B968)&gt;80,"Name too long",IF(COUNTIFS($A$2:$A$1001,A968,$B$2:$B$1001,B968)&gt;1,"Duplicate court name",IF(AND(C968&lt;&gt;"",C968&lt;&gt;"Hard",C968&lt;&gt;"Synthetic",C968&lt;&gt;"Other",C968&lt;&gt;"Not sure"),"Unknown surface",IF(OR(AND(D968&lt;&gt;"Yes",D968&lt;&gt;"No"),AND(E968&lt;&gt;"Yes",E968&lt;&gt;"No"),AND(F968&lt;&gt;"Yes",F968&lt;&gt;"No")),"Use Yes or No","OK")))))))</f>
      </c>
    </row>
    <row r="969">
      <c r="G969" s="4">
        <f>IF(A969="","",IF(COUNTIF(Venues!$A$2:$A$201,A969)=0,"Unknown venue code",IF(OR(B969="",D969="",E969="",F969=""),"Missing details",IF(LEN(B969)&gt;80,"Name too long",IF(COUNTIFS($A$2:$A$1001,A969,$B$2:$B$1001,B969)&gt;1,"Duplicate court name",IF(AND(C969&lt;&gt;"",C969&lt;&gt;"Hard",C969&lt;&gt;"Synthetic",C969&lt;&gt;"Other",C969&lt;&gt;"Not sure"),"Unknown surface",IF(OR(AND(D969&lt;&gt;"Yes",D969&lt;&gt;"No"),AND(E969&lt;&gt;"Yes",E969&lt;&gt;"No"),AND(F969&lt;&gt;"Yes",F969&lt;&gt;"No")),"Use Yes or No","OK")))))))</f>
      </c>
    </row>
    <row r="970">
      <c r="G970" s="4">
        <f>IF(A970="","",IF(COUNTIF(Venues!$A$2:$A$201,A970)=0,"Unknown venue code",IF(OR(B970="",D970="",E970="",F970=""),"Missing details",IF(LEN(B970)&gt;80,"Name too long",IF(COUNTIFS($A$2:$A$1001,A970,$B$2:$B$1001,B970)&gt;1,"Duplicate court name",IF(AND(C970&lt;&gt;"",C970&lt;&gt;"Hard",C970&lt;&gt;"Synthetic",C970&lt;&gt;"Other",C970&lt;&gt;"Not sure"),"Unknown surface",IF(OR(AND(D970&lt;&gt;"Yes",D970&lt;&gt;"No"),AND(E970&lt;&gt;"Yes",E970&lt;&gt;"No"),AND(F970&lt;&gt;"Yes",F970&lt;&gt;"No")),"Use Yes or No","OK")))))))</f>
      </c>
    </row>
    <row r="971">
      <c r="G971" s="4">
        <f>IF(A971="","",IF(COUNTIF(Venues!$A$2:$A$201,A971)=0,"Unknown venue code",IF(OR(B971="",D971="",E971="",F971=""),"Missing details",IF(LEN(B971)&gt;80,"Name too long",IF(COUNTIFS($A$2:$A$1001,A971,$B$2:$B$1001,B971)&gt;1,"Duplicate court name",IF(AND(C971&lt;&gt;"",C971&lt;&gt;"Hard",C971&lt;&gt;"Synthetic",C971&lt;&gt;"Other",C971&lt;&gt;"Not sure"),"Unknown surface",IF(OR(AND(D971&lt;&gt;"Yes",D971&lt;&gt;"No"),AND(E971&lt;&gt;"Yes",E971&lt;&gt;"No"),AND(F971&lt;&gt;"Yes",F971&lt;&gt;"No")),"Use Yes or No","OK")))))))</f>
      </c>
    </row>
    <row r="972">
      <c r="G972" s="4">
        <f>IF(A972="","",IF(COUNTIF(Venues!$A$2:$A$201,A972)=0,"Unknown venue code",IF(OR(B972="",D972="",E972="",F972=""),"Missing details",IF(LEN(B972)&gt;80,"Name too long",IF(COUNTIFS($A$2:$A$1001,A972,$B$2:$B$1001,B972)&gt;1,"Duplicate court name",IF(AND(C972&lt;&gt;"",C972&lt;&gt;"Hard",C972&lt;&gt;"Synthetic",C972&lt;&gt;"Other",C972&lt;&gt;"Not sure"),"Unknown surface",IF(OR(AND(D972&lt;&gt;"Yes",D972&lt;&gt;"No"),AND(E972&lt;&gt;"Yes",E972&lt;&gt;"No"),AND(F972&lt;&gt;"Yes",F972&lt;&gt;"No")),"Use Yes or No","OK")))))))</f>
      </c>
    </row>
    <row r="973">
      <c r="G973" s="4">
        <f>IF(A973="","",IF(COUNTIF(Venues!$A$2:$A$201,A973)=0,"Unknown venue code",IF(OR(B973="",D973="",E973="",F973=""),"Missing details",IF(LEN(B973)&gt;80,"Name too long",IF(COUNTIFS($A$2:$A$1001,A973,$B$2:$B$1001,B973)&gt;1,"Duplicate court name",IF(AND(C973&lt;&gt;"",C973&lt;&gt;"Hard",C973&lt;&gt;"Synthetic",C973&lt;&gt;"Other",C973&lt;&gt;"Not sure"),"Unknown surface",IF(OR(AND(D973&lt;&gt;"Yes",D973&lt;&gt;"No"),AND(E973&lt;&gt;"Yes",E973&lt;&gt;"No"),AND(F973&lt;&gt;"Yes",F973&lt;&gt;"No")),"Use Yes or No","OK")))))))</f>
      </c>
    </row>
    <row r="974">
      <c r="G974" s="4">
        <f>IF(A974="","",IF(COUNTIF(Venues!$A$2:$A$201,A974)=0,"Unknown venue code",IF(OR(B974="",D974="",E974="",F974=""),"Missing details",IF(LEN(B974)&gt;80,"Name too long",IF(COUNTIFS($A$2:$A$1001,A974,$B$2:$B$1001,B974)&gt;1,"Duplicate court name",IF(AND(C974&lt;&gt;"",C974&lt;&gt;"Hard",C974&lt;&gt;"Synthetic",C974&lt;&gt;"Other",C974&lt;&gt;"Not sure"),"Unknown surface",IF(OR(AND(D974&lt;&gt;"Yes",D974&lt;&gt;"No"),AND(E974&lt;&gt;"Yes",E974&lt;&gt;"No"),AND(F974&lt;&gt;"Yes",F974&lt;&gt;"No")),"Use Yes or No","OK")))))))</f>
      </c>
    </row>
    <row r="975">
      <c r="G975" s="4">
        <f>IF(A975="","",IF(COUNTIF(Venues!$A$2:$A$201,A975)=0,"Unknown venue code",IF(OR(B975="",D975="",E975="",F975=""),"Missing details",IF(LEN(B975)&gt;80,"Name too long",IF(COUNTIFS($A$2:$A$1001,A975,$B$2:$B$1001,B975)&gt;1,"Duplicate court name",IF(AND(C975&lt;&gt;"",C975&lt;&gt;"Hard",C975&lt;&gt;"Synthetic",C975&lt;&gt;"Other",C975&lt;&gt;"Not sure"),"Unknown surface",IF(OR(AND(D975&lt;&gt;"Yes",D975&lt;&gt;"No"),AND(E975&lt;&gt;"Yes",E975&lt;&gt;"No"),AND(F975&lt;&gt;"Yes",F975&lt;&gt;"No")),"Use Yes or No","OK")))))))</f>
      </c>
    </row>
    <row r="976">
      <c r="G976" s="4">
        <f>IF(A976="","",IF(COUNTIF(Venues!$A$2:$A$201,A976)=0,"Unknown venue code",IF(OR(B976="",D976="",E976="",F976=""),"Missing details",IF(LEN(B976)&gt;80,"Name too long",IF(COUNTIFS($A$2:$A$1001,A976,$B$2:$B$1001,B976)&gt;1,"Duplicate court name",IF(AND(C976&lt;&gt;"",C976&lt;&gt;"Hard",C976&lt;&gt;"Synthetic",C976&lt;&gt;"Other",C976&lt;&gt;"Not sure"),"Unknown surface",IF(OR(AND(D976&lt;&gt;"Yes",D976&lt;&gt;"No"),AND(E976&lt;&gt;"Yes",E976&lt;&gt;"No"),AND(F976&lt;&gt;"Yes",F976&lt;&gt;"No")),"Use Yes or No","OK")))))))</f>
      </c>
    </row>
    <row r="977">
      <c r="G977" s="4">
        <f>IF(A977="","",IF(COUNTIF(Venues!$A$2:$A$201,A977)=0,"Unknown venue code",IF(OR(B977="",D977="",E977="",F977=""),"Missing details",IF(LEN(B977)&gt;80,"Name too long",IF(COUNTIFS($A$2:$A$1001,A977,$B$2:$B$1001,B977)&gt;1,"Duplicate court name",IF(AND(C977&lt;&gt;"",C977&lt;&gt;"Hard",C977&lt;&gt;"Synthetic",C977&lt;&gt;"Other",C977&lt;&gt;"Not sure"),"Unknown surface",IF(OR(AND(D977&lt;&gt;"Yes",D977&lt;&gt;"No"),AND(E977&lt;&gt;"Yes",E977&lt;&gt;"No"),AND(F977&lt;&gt;"Yes",F977&lt;&gt;"No")),"Use Yes or No","OK")))))))</f>
      </c>
    </row>
    <row r="978">
      <c r="G978" s="4">
        <f>IF(A978="","",IF(COUNTIF(Venues!$A$2:$A$201,A978)=0,"Unknown venue code",IF(OR(B978="",D978="",E978="",F978=""),"Missing details",IF(LEN(B978)&gt;80,"Name too long",IF(COUNTIFS($A$2:$A$1001,A978,$B$2:$B$1001,B978)&gt;1,"Duplicate court name",IF(AND(C978&lt;&gt;"",C978&lt;&gt;"Hard",C978&lt;&gt;"Synthetic",C978&lt;&gt;"Other",C978&lt;&gt;"Not sure"),"Unknown surface",IF(OR(AND(D978&lt;&gt;"Yes",D978&lt;&gt;"No"),AND(E978&lt;&gt;"Yes",E978&lt;&gt;"No"),AND(F978&lt;&gt;"Yes",F978&lt;&gt;"No")),"Use Yes or No","OK")))))))</f>
      </c>
    </row>
    <row r="979">
      <c r="G979" s="4">
        <f>IF(A979="","",IF(COUNTIF(Venues!$A$2:$A$201,A979)=0,"Unknown venue code",IF(OR(B979="",D979="",E979="",F979=""),"Missing details",IF(LEN(B979)&gt;80,"Name too long",IF(COUNTIFS($A$2:$A$1001,A979,$B$2:$B$1001,B979)&gt;1,"Duplicate court name",IF(AND(C979&lt;&gt;"",C979&lt;&gt;"Hard",C979&lt;&gt;"Synthetic",C979&lt;&gt;"Other",C979&lt;&gt;"Not sure"),"Unknown surface",IF(OR(AND(D979&lt;&gt;"Yes",D979&lt;&gt;"No"),AND(E979&lt;&gt;"Yes",E979&lt;&gt;"No"),AND(F979&lt;&gt;"Yes",F979&lt;&gt;"No")),"Use Yes or No","OK")))))))</f>
      </c>
    </row>
    <row r="980">
      <c r="G980" s="4">
        <f>IF(A980="","",IF(COUNTIF(Venues!$A$2:$A$201,A980)=0,"Unknown venue code",IF(OR(B980="",D980="",E980="",F980=""),"Missing details",IF(LEN(B980)&gt;80,"Name too long",IF(COUNTIFS($A$2:$A$1001,A980,$B$2:$B$1001,B980)&gt;1,"Duplicate court name",IF(AND(C980&lt;&gt;"",C980&lt;&gt;"Hard",C980&lt;&gt;"Synthetic",C980&lt;&gt;"Other",C980&lt;&gt;"Not sure"),"Unknown surface",IF(OR(AND(D980&lt;&gt;"Yes",D980&lt;&gt;"No"),AND(E980&lt;&gt;"Yes",E980&lt;&gt;"No"),AND(F980&lt;&gt;"Yes",F980&lt;&gt;"No")),"Use Yes or No","OK")))))))</f>
      </c>
    </row>
    <row r="981">
      <c r="G981" s="4">
        <f>IF(A981="","",IF(COUNTIF(Venues!$A$2:$A$201,A981)=0,"Unknown venue code",IF(OR(B981="",D981="",E981="",F981=""),"Missing details",IF(LEN(B981)&gt;80,"Name too long",IF(COUNTIFS($A$2:$A$1001,A981,$B$2:$B$1001,B981)&gt;1,"Duplicate court name",IF(AND(C981&lt;&gt;"",C981&lt;&gt;"Hard",C981&lt;&gt;"Synthetic",C981&lt;&gt;"Other",C981&lt;&gt;"Not sure"),"Unknown surface",IF(OR(AND(D981&lt;&gt;"Yes",D981&lt;&gt;"No"),AND(E981&lt;&gt;"Yes",E981&lt;&gt;"No"),AND(F981&lt;&gt;"Yes",F981&lt;&gt;"No")),"Use Yes or No","OK")))))))</f>
      </c>
    </row>
    <row r="982">
      <c r="G982" s="4">
        <f>IF(A982="","",IF(COUNTIF(Venues!$A$2:$A$201,A982)=0,"Unknown venue code",IF(OR(B982="",D982="",E982="",F982=""),"Missing details",IF(LEN(B982)&gt;80,"Name too long",IF(COUNTIFS($A$2:$A$1001,A982,$B$2:$B$1001,B982)&gt;1,"Duplicate court name",IF(AND(C982&lt;&gt;"",C982&lt;&gt;"Hard",C982&lt;&gt;"Synthetic",C982&lt;&gt;"Other",C982&lt;&gt;"Not sure"),"Unknown surface",IF(OR(AND(D982&lt;&gt;"Yes",D982&lt;&gt;"No"),AND(E982&lt;&gt;"Yes",E982&lt;&gt;"No"),AND(F982&lt;&gt;"Yes",F982&lt;&gt;"No")),"Use Yes or No","OK")))))))</f>
      </c>
    </row>
    <row r="983">
      <c r="G983" s="4">
        <f>IF(A983="","",IF(COUNTIF(Venues!$A$2:$A$201,A983)=0,"Unknown venue code",IF(OR(B983="",D983="",E983="",F983=""),"Missing details",IF(LEN(B983)&gt;80,"Name too long",IF(COUNTIFS($A$2:$A$1001,A983,$B$2:$B$1001,B983)&gt;1,"Duplicate court name",IF(AND(C983&lt;&gt;"",C983&lt;&gt;"Hard",C983&lt;&gt;"Synthetic",C983&lt;&gt;"Other",C983&lt;&gt;"Not sure"),"Unknown surface",IF(OR(AND(D983&lt;&gt;"Yes",D983&lt;&gt;"No"),AND(E983&lt;&gt;"Yes",E983&lt;&gt;"No"),AND(F983&lt;&gt;"Yes",F983&lt;&gt;"No")),"Use Yes or No","OK")))))))</f>
      </c>
    </row>
    <row r="984">
      <c r="G984" s="4">
        <f>IF(A984="","",IF(COUNTIF(Venues!$A$2:$A$201,A984)=0,"Unknown venue code",IF(OR(B984="",D984="",E984="",F984=""),"Missing details",IF(LEN(B984)&gt;80,"Name too long",IF(COUNTIFS($A$2:$A$1001,A984,$B$2:$B$1001,B984)&gt;1,"Duplicate court name",IF(AND(C984&lt;&gt;"",C984&lt;&gt;"Hard",C984&lt;&gt;"Synthetic",C984&lt;&gt;"Other",C984&lt;&gt;"Not sure"),"Unknown surface",IF(OR(AND(D984&lt;&gt;"Yes",D984&lt;&gt;"No"),AND(E984&lt;&gt;"Yes",E984&lt;&gt;"No"),AND(F984&lt;&gt;"Yes",F984&lt;&gt;"No")),"Use Yes or No","OK")))))))</f>
      </c>
    </row>
    <row r="985">
      <c r="G985" s="4">
        <f>IF(A985="","",IF(COUNTIF(Venues!$A$2:$A$201,A985)=0,"Unknown venue code",IF(OR(B985="",D985="",E985="",F985=""),"Missing details",IF(LEN(B985)&gt;80,"Name too long",IF(COUNTIFS($A$2:$A$1001,A985,$B$2:$B$1001,B985)&gt;1,"Duplicate court name",IF(AND(C985&lt;&gt;"",C985&lt;&gt;"Hard",C985&lt;&gt;"Synthetic",C985&lt;&gt;"Other",C985&lt;&gt;"Not sure"),"Unknown surface",IF(OR(AND(D985&lt;&gt;"Yes",D985&lt;&gt;"No"),AND(E985&lt;&gt;"Yes",E985&lt;&gt;"No"),AND(F985&lt;&gt;"Yes",F985&lt;&gt;"No")),"Use Yes or No","OK")))))))</f>
      </c>
    </row>
    <row r="986">
      <c r="G986" s="4">
        <f>IF(A986="","",IF(COUNTIF(Venues!$A$2:$A$201,A986)=0,"Unknown venue code",IF(OR(B986="",D986="",E986="",F986=""),"Missing details",IF(LEN(B986)&gt;80,"Name too long",IF(COUNTIFS($A$2:$A$1001,A986,$B$2:$B$1001,B986)&gt;1,"Duplicate court name",IF(AND(C986&lt;&gt;"",C986&lt;&gt;"Hard",C986&lt;&gt;"Synthetic",C986&lt;&gt;"Other",C986&lt;&gt;"Not sure"),"Unknown surface",IF(OR(AND(D986&lt;&gt;"Yes",D986&lt;&gt;"No"),AND(E986&lt;&gt;"Yes",E986&lt;&gt;"No"),AND(F986&lt;&gt;"Yes",F986&lt;&gt;"No")),"Use Yes or No","OK")))))))</f>
      </c>
    </row>
    <row r="987">
      <c r="G987" s="4">
        <f>IF(A987="","",IF(COUNTIF(Venues!$A$2:$A$201,A987)=0,"Unknown venue code",IF(OR(B987="",D987="",E987="",F987=""),"Missing details",IF(LEN(B987)&gt;80,"Name too long",IF(COUNTIFS($A$2:$A$1001,A987,$B$2:$B$1001,B987)&gt;1,"Duplicate court name",IF(AND(C987&lt;&gt;"",C987&lt;&gt;"Hard",C987&lt;&gt;"Synthetic",C987&lt;&gt;"Other",C987&lt;&gt;"Not sure"),"Unknown surface",IF(OR(AND(D987&lt;&gt;"Yes",D987&lt;&gt;"No"),AND(E987&lt;&gt;"Yes",E987&lt;&gt;"No"),AND(F987&lt;&gt;"Yes",F987&lt;&gt;"No")),"Use Yes or No","OK")))))))</f>
      </c>
    </row>
    <row r="988">
      <c r="G988" s="4">
        <f>IF(A988="","",IF(COUNTIF(Venues!$A$2:$A$201,A988)=0,"Unknown venue code",IF(OR(B988="",D988="",E988="",F988=""),"Missing details",IF(LEN(B988)&gt;80,"Name too long",IF(COUNTIFS($A$2:$A$1001,A988,$B$2:$B$1001,B988)&gt;1,"Duplicate court name",IF(AND(C988&lt;&gt;"",C988&lt;&gt;"Hard",C988&lt;&gt;"Synthetic",C988&lt;&gt;"Other",C988&lt;&gt;"Not sure"),"Unknown surface",IF(OR(AND(D988&lt;&gt;"Yes",D988&lt;&gt;"No"),AND(E988&lt;&gt;"Yes",E988&lt;&gt;"No"),AND(F988&lt;&gt;"Yes",F988&lt;&gt;"No")),"Use Yes or No","OK")))))))</f>
      </c>
    </row>
    <row r="989">
      <c r="G989" s="4">
        <f>IF(A989="","",IF(COUNTIF(Venues!$A$2:$A$201,A989)=0,"Unknown venue code",IF(OR(B989="",D989="",E989="",F989=""),"Missing details",IF(LEN(B989)&gt;80,"Name too long",IF(COUNTIFS($A$2:$A$1001,A989,$B$2:$B$1001,B989)&gt;1,"Duplicate court name",IF(AND(C989&lt;&gt;"",C989&lt;&gt;"Hard",C989&lt;&gt;"Synthetic",C989&lt;&gt;"Other",C989&lt;&gt;"Not sure"),"Unknown surface",IF(OR(AND(D989&lt;&gt;"Yes",D989&lt;&gt;"No"),AND(E989&lt;&gt;"Yes",E989&lt;&gt;"No"),AND(F989&lt;&gt;"Yes",F989&lt;&gt;"No")),"Use Yes or No","OK")))))))</f>
      </c>
    </row>
    <row r="990">
      <c r="G990" s="4">
        <f>IF(A990="","",IF(COUNTIF(Venues!$A$2:$A$201,A990)=0,"Unknown venue code",IF(OR(B990="",D990="",E990="",F990=""),"Missing details",IF(LEN(B990)&gt;80,"Name too long",IF(COUNTIFS($A$2:$A$1001,A990,$B$2:$B$1001,B990)&gt;1,"Duplicate court name",IF(AND(C990&lt;&gt;"",C990&lt;&gt;"Hard",C990&lt;&gt;"Synthetic",C990&lt;&gt;"Other",C990&lt;&gt;"Not sure"),"Unknown surface",IF(OR(AND(D990&lt;&gt;"Yes",D990&lt;&gt;"No"),AND(E990&lt;&gt;"Yes",E990&lt;&gt;"No"),AND(F990&lt;&gt;"Yes",F990&lt;&gt;"No")),"Use Yes or No","OK")))))))</f>
      </c>
    </row>
    <row r="991">
      <c r="G991" s="4">
        <f>IF(A991="","",IF(COUNTIF(Venues!$A$2:$A$201,A991)=0,"Unknown venue code",IF(OR(B991="",D991="",E991="",F991=""),"Missing details",IF(LEN(B991)&gt;80,"Name too long",IF(COUNTIFS($A$2:$A$1001,A991,$B$2:$B$1001,B991)&gt;1,"Duplicate court name",IF(AND(C991&lt;&gt;"",C991&lt;&gt;"Hard",C991&lt;&gt;"Synthetic",C991&lt;&gt;"Other",C991&lt;&gt;"Not sure"),"Unknown surface",IF(OR(AND(D991&lt;&gt;"Yes",D991&lt;&gt;"No"),AND(E991&lt;&gt;"Yes",E991&lt;&gt;"No"),AND(F991&lt;&gt;"Yes",F991&lt;&gt;"No")),"Use Yes or No","OK")))))))</f>
      </c>
    </row>
    <row r="992">
      <c r="G992" s="4">
        <f>IF(A992="","",IF(COUNTIF(Venues!$A$2:$A$201,A992)=0,"Unknown venue code",IF(OR(B992="",D992="",E992="",F992=""),"Missing details",IF(LEN(B992)&gt;80,"Name too long",IF(COUNTIFS($A$2:$A$1001,A992,$B$2:$B$1001,B992)&gt;1,"Duplicate court name",IF(AND(C992&lt;&gt;"",C992&lt;&gt;"Hard",C992&lt;&gt;"Synthetic",C992&lt;&gt;"Other",C992&lt;&gt;"Not sure"),"Unknown surface",IF(OR(AND(D992&lt;&gt;"Yes",D992&lt;&gt;"No"),AND(E992&lt;&gt;"Yes",E992&lt;&gt;"No"),AND(F992&lt;&gt;"Yes",F992&lt;&gt;"No")),"Use Yes or No","OK")))))))</f>
      </c>
    </row>
    <row r="993">
      <c r="G993" s="4">
        <f>IF(A993="","",IF(COUNTIF(Venues!$A$2:$A$201,A993)=0,"Unknown venue code",IF(OR(B993="",D993="",E993="",F993=""),"Missing details",IF(LEN(B993)&gt;80,"Name too long",IF(COUNTIFS($A$2:$A$1001,A993,$B$2:$B$1001,B993)&gt;1,"Duplicate court name",IF(AND(C993&lt;&gt;"",C993&lt;&gt;"Hard",C993&lt;&gt;"Synthetic",C993&lt;&gt;"Other",C993&lt;&gt;"Not sure"),"Unknown surface",IF(OR(AND(D993&lt;&gt;"Yes",D993&lt;&gt;"No"),AND(E993&lt;&gt;"Yes",E993&lt;&gt;"No"),AND(F993&lt;&gt;"Yes",F993&lt;&gt;"No")),"Use Yes or No","OK")))))))</f>
      </c>
    </row>
    <row r="994">
      <c r="G994" s="4">
        <f>IF(A994="","",IF(COUNTIF(Venues!$A$2:$A$201,A994)=0,"Unknown venue code",IF(OR(B994="",D994="",E994="",F994=""),"Missing details",IF(LEN(B994)&gt;80,"Name too long",IF(COUNTIFS($A$2:$A$1001,A994,$B$2:$B$1001,B994)&gt;1,"Duplicate court name",IF(AND(C994&lt;&gt;"",C994&lt;&gt;"Hard",C994&lt;&gt;"Synthetic",C994&lt;&gt;"Other",C994&lt;&gt;"Not sure"),"Unknown surface",IF(OR(AND(D994&lt;&gt;"Yes",D994&lt;&gt;"No"),AND(E994&lt;&gt;"Yes",E994&lt;&gt;"No"),AND(F994&lt;&gt;"Yes",F994&lt;&gt;"No")),"Use Yes or No","OK")))))))</f>
      </c>
    </row>
    <row r="995">
      <c r="G995" s="4">
        <f>IF(A995="","",IF(COUNTIF(Venues!$A$2:$A$201,A995)=0,"Unknown venue code",IF(OR(B995="",D995="",E995="",F995=""),"Missing details",IF(LEN(B995)&gt;80,"Name too long",IF(COUNTIFS($A$2:$A$1001,A995,$B$2:$B$1001,B995)&gt;1,"Duplicate court name",IF(AND(C995&lt;&gt;"",C995&lt;&gt;"Hard",C995&lt;&gt;"Synthetic",C995&lt;&gt;"Other",C995&lt;&gt;"Not sure"),"Unknown surface",IF(OR(AND(D995&lt;&gt;"Yes",D995&lt;&gt;"No"),AND(E995&lt;&gt;"Yes",E995&lt;&gt;"No"),AND(F995&lt;&gt;"Yes",F995&lt;&gt;"No")),"Use Yes or No","OK")))))))</f>
      </c>
    </row>
    <row r="996">
      <c r="G996" s="4">
        <f>IF(A996="","",IF(COUNTIF(Venues!$A$2:$A$201,A996)=0,"Unknown venue code",IF(OR(B996="",D996="",E996="",F996=""),"Missing details",IF(LEN(B996)&gt;80,"Name too long",IF(COUNTIFS($A$2:$A$1001,A996,$B$2:$B$1001,B996)&gt;1,"Duplicate court name",IF(AND(C996&lt;&gt;"",C996&lt;&gt;"Hard",C996&lt;&gt;"Synthetic",C996&lt;&gt;"Other",C996&lt;&gt;"Not sure"),"Unknown surface",IF(OR(AND(D996&lt;&gt;"Yes",D996&lt;&gt;"No"),AND(E996&lt;&gt;"Yes",E996&lt;&gt;"No"),AND(F996&lt;&gt;"Yes",F996&lt;&gt;"No")),"Use Yes or No","OK")))))))</f>
      </c>
    </row>
    <row r="997">
      <c r="G997" s="4">
        <f>IF(A997="","",IF(COUNTIF(Venues!$A$2:$A$201,A997)=0,"Unknown venue code",IF(OR(B997="",D997="",E997="",F997=""),"Missing details",IF(LEN(B997)&gt;80,"Name too long",IF(COUNTIFS($A$2:$A$1001,A997,$B$2:$B$1001,B997)&gt;1,"Duplicate court name",IF(AND(C997&lt;&gt;"",C997&lt;&gt;"Hard",C997&lt;&gt;"Synthetic",C997&lt;&gt;"Other",C997&lt;&gt;"Not sure"),"Unknown surface",IF(OR(AND(D997&lt;&gt;"Yes",D997&lt;&gt;"No"),AND(E997&lt;&gt;"Yes",E997&lt;&gt;"No"),AND(F997&lt;&gt;"Yes",F997&lt;&gt;"No")),"Use Yes or No","OK")))))))</f>
      </c>
    </row>
    <row r="998">
      <c r="G998" s="4">
        <f>IF(A998="","",IF(COUNTIF(Venues!$A$2:$A$201,A998)=0,"Unknown venue code",IF(OR(B998="",D998="",E998="",F998=""),"Missing details",IF(LEN(B998)&gt;80,"Name too long",IF(COUNTIFS($A$2:$A$1001,A998,$B$2:$B$1001,B998)&gt;1,"Duplicate court name",IF(AND(C998&lt;&gt;"",C998&lt;&gt;"Hard",C998&lt;&gt;"Synthetic",C998&lt;&gt;"Other",C998&lt;&gt;"Not sure"),"Unknown surface",IF(OR(AND(D998&lt;&gt;"Yes",D998&lt;&gt;"No"),AND(E998&lt;&gt;"Yes",E998&lt;&gt;"No"),AND(F998&lt;&gt;"Yes",F998&lt;&gt;"No")),"Use Yes or No","OK")))))))</f>
      </c>
    </row>
    <row r="999">
      <c r="G999" s="4">
        <f>IF(A999="","",IF(COUNTIF(Venues!$A$2:$A$201,A999)=0,"Unknown venue code",IF(OR(B999="",D999="",E999="",F999=""),"Missing details",IF(LEN(B999)&gt;80,"Name too long",IF(COUNTIFS($A$2:$A$1001,A999,$B$2:$B$1001,B999)&gt;1,"Duplicate court name",IF(AND(C999&lt;&gt;"",C999&lt;&gt;"Hard",C999&lt;&gt;"Synthetic",C999&lt;&gt;"Other",C999&lt;&gt;"Not sure"),"Unknown surface",IF(OR(AND(D999&lt;&gt;"Yes",D999&lt;&gt;"No"),AND(E999&lt;&gt;"Yes",E999&lt;&gt;"No"),AND(F999&lt;&gt;"Yes",F999&lt;&gt;"No")),"Use Yes or No","OK")))))))</f>
      </c>
    </row>
    <row r="1000">
      <c r="G1000" s="4">
        <f>IF(A1000="","",IF(COUNTIF(Venues!$A$2:$A$201,A1000)=0,"Unknown venue code",IF(OR(B1000="",D1000="",E1000="",F1000=""),"Missing details",IF(LEN(B1000)&gt;80,"Name too long",IF(COUNTIFS($A$2:$A$1001,A1000,$B$2:$B$1001,B1000)&gt;1,"Duplicate court name",IF(AND(C1000&lt;&gt;"",C1000&lt;&gt;"Hard",C1000&lt;&gt;"Synthetic",C1000&lt;&gt;"Other",C1000&lt;&gt;"Not sure"),"Unknown surface",IF(OR(AND(D1000&lt;&gt;"Yes",D1000&lt;&gt;"No"),AND(E1000&lt;&gt;"Yes",E1000&lt;&gt;"No"),AND(F1000&lt;&gt;"Yes",F1000&lt;&gt;"No")),"Use Yes or No","OK")))))))</f>
      </c>
    </row>
    <row r="1001">
      <c r="G1001" s="4">
        <f>IF(A1001="","",IF(COUNTIF(Venues!$A$2:$A$201,A1001)=0,"Unknown venue code",IF(OR(B1001="",D1001="",E1001="",F1001=""),"Missing details",IF(LEN(B1001)&gt;80,"Name too long",IF(COUNTIFS($A$2:$A$1001,A1001,$B$2:$B$1001,B1001)&gt;1,"Duplicate court name",IF(AND(C1001&lt;&gt;"",C1001&lt;&gt;"Hard",C1001&lt;&gt;"Synthetic",C1001&lt;&gt;"Other",C1001&lt;&gt;"Not sure"),"Unknown surface",IF(OR(AND(D1001&lt;&gt;"Yes",D1001&lt;&gt;"No"),AND(E1001&lt;&gt;"Yes",E1001&lt;&gt;"No"),AND(F1001&lt;&gt;"Yes",F1001&lt;&gt;"No")),"Use Yes or No","OK")))))))</f>
      </c>
    </row>
  </sheetData>
  <conditionalFormatting sqref="G2:G1001">
    <cfRule type="expression" dxfId="0" priority="1">
      <formula>$G2="OK"</formula>
    </cfRule>
    <cfRule type="expression" dxfId="1" priority="2">
      <formula>AND($G2&lt;&gt;"",$G2&lt;&gt;"OK")</formula>
    </cfRule>
  </conditionalFormatting>
  <dataValidations count="6">
    <dataValidation type="list" allowBlank="1" showInputMessage="1" showErrorMessage="1" errorTitle="Unknown venue" error="Choose a code that exists on the Venues sheet." promptTitle="Venue code" prompt="Choose the venue code from the Venues sheet. Add one row per court." sqref="A2:A1001">
      <formula1>Venues!$A$2:$A$201</formula1>
    </dataValidation>
    <dataValidation type="custom" allowBlank="1" showInputMessage="1" showErrorMessage="1" errorTitle="Check the court name" error="Court names must be unique within a venue and up to 80 characters." promptTitle="Court name" prompt="As the venue calls it, such as Court 1. Each name once per venue, up to 80 characters, at most 40 courts per venue." sqref="B2:B1001">
      <formula1>AND(LEN(B2)&gt;=1,LEN(B2)&lt;=80,COUNTIFS($A$2:$A$1001,A2,$B$2:$B$1001,B2)=1)</formula1>
    </dataValidation>
    <dataValidation type="list" allowBlank="1" showInputMessage="1" showErrorMessage="1" errorTitle="Not in the list" error="Choose a value from the list." promptTitle="Surface" prompt="Hard (concrete, asphalt or painted court), Synthetic (sport tiles, mats or turf), Other, or Not sure." sqref="C2:C1001">
      <formula1>Lists!$C$2:$C$5</formula1>
    </dataValidation>
    <dataValidation type="list" allowBlank="1" showInputMessage="1" showErrorMessage="1" errorTitle="Not in the list" error="Choose a value from the list." promptTitle="Indoor?" prompt="Yes if the court is inside a building." sqref="D2:D1001">
      <formula1>Lists!$B$2:$B$3</formula1>
    </dataValidation>
    <dataValidation type="list" allowBlank="1" showInputMessage="1" showErrorMessage="1" errorTitle="Not in the list" error="Choose a value from the list." promptTitle="Covered?" prompt="Yes if players are under a roof." sqref="E2:E1001">
      <formula1>Lists!$B$2:$B$3</formula1>
    </dataValidation>
    <dataValidation type="list" allowBlank="1" showInputMessage="1" showErrorMessage="1" errorTitle="Not in the list" error="Choose a value from the list." promptTitle="Active?" prompt="Yes if it can be played on now. No for a court that is closed for now. A venue needs at least one active court to be published." sqref="F2:F1001">
      <formula1>Lists!$B$2:$B$3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5"/>
  <cols>
    <col min="1" max="1" width="14" style="2" customWidth="1"/>
    <col min="2" max="2" width="24" style="2" customWidth="1"/>
    <col min="3" max="3" width="13" customWidth="1"/>
    <col min="4" max="4" width="26" style="2" customWidth="1"/>
    <col min="5" max="5" width="16" customWidth="1"/>
    <col min="6" max="6" width="13" style="5" customWidth="1"/>
    <col min="7" max="7" width="40" style="2" customWidth="1"/>
    <col min="8" max="8" width="16" customWidth="1"/>
    <col min="9" max="9" width="40" style="2" customWidth="1"/>
  </cols>
  <sheetData>
    <row r="1" ht="32" customHeight="1">
      <c r="A1" s="1" t="inlineStr">
        <is>
          <t xml:space="preserve">Venue code *</t>
        </is>
      </c>
      <c r="B1" s="1" t="inlineStr">
        <is>
          <t xml:space="preserve">Person who agreed *</t>
        </is>
      </c>
      <c r="C1" s="1" t="inlineStr">
        <is>
          <t xml:space="preserve">Their role *</t>
        </is>
      </c>
      <c r="D1" s="1" t="inlineStr">
        <is>
          <t xml:space="preserve">Phone or email *</t>
        </is>
      </c>
      <c r="E1" s="1" t="inlineStr">
        <is>
          <t xml:space="preserve">How they agreed *</t>
        </is>
      </c>
      <c r="F1" s="1" t="inlineStr">
        <is>
          <t xml:space="preserve">Date agreed *</t>
        </is>
      </c>
      <c r="G1" s="1" t="inlineStr">
        <is>
          <t xml:space="preserve">Where the proof is saved *</t>
        </is>
      </c>
      <c r="H1" s="1" t="inlineStr">
        <is>
          <t xml:space="preserve">Invited to claim in the app?</t>
        </is>
      </c>
      <c r="I1" s="1" t="inlineStr">
        <is>
          <t xml:space="preserve">Notes</t>
        </is>
      </c>
    </row>
  </sheetData>
  <dataValidations count="8">
    <dataValidation type="list" allowBlank="1" showInputMessage="1" showErrorMessage="1" errorTitle="Unknown venue" error="Choose a code that exists on the Venues sheet." promptTitle="Venue code" prompt="Choose the venue code from the Venues sheet." sqref="A2:A201">
      <formula1>Venues!$A$2:$A$201</formula1>
    </dataValidation>
    <dataValidation type="textLength" operator="between" allowBlank="1" showInputMessage="1" showErrorMessage="1" errorTitle="Too long" error="Use 1 to 120 characters." promptTitle="Person who agreed" prompt="Full name of the person who agreed to the listing." sqref="B2:B201">
      <formula1>1</formula1>
      <formula2>120</formula2>
    </dataValidation>
    <dataValidation type="list" allowBlank="1" showInputMessage="1" showErrorMessage="1" errorTitle="Not in the list" error="Choose a value from the list." promptTitle="Their role" prompt="Their role at the venue." sqref="C2:C201">
      <formula1>Lists!$F$2:$F$5</formula1>
    </dataValidation>
    <dataValidation type="none" allowBlank="1" showInputMessage="1" showErrorMessage="0" promptTitle="Phone or email" prompt="How to reach them. Private: never imported or shown in the app." sqref="D2:D201"/>
    <dataValidation type="list" allowBlank="1" showInputMessage="1" showErrorMessage="1" errorTitle="Not in the list" error="Choose a value from the list." promptTitle="How they agreed" prompt="In person, by message, by email or on a phone call." sqref="E2:E201">
      <formula1>Lists!$G$2:$G$5</formula1>
    </dataValidation>
    <dataValidation type="date" operator="greaterThanOrEqual" allowBlank="1" showInputMessage="1" showErrorMessage="1" errorTitle="Check the date" error="Enter a date from 2025 onwards, such as 2026-10-13." promptTitle="Date agreed" prompt="The date they agreed, such as 2026-10-13." sqref="F2:F201">
      <formula1>45658</formula1>
    </dataValidation>
    <dataValidation type="none" allowBlank="1" showInputMessage="1" showErrorMessage="0" promptTitle="Proof" prompt="Where the proof is kept, such as a Messenger screenshot in a private Drive folder." sqref="G2:G201"/>
    <dataValidation type="list" allowBlank="1" showInputMessage="1" showErrorMessage="1" errorTitle="Not in the list" error="Choose a value from the list." promptTitle="Invited to claim?" prompt="Yes once you have asked them to claim the listing in the PicklyPH app, so they can add hours, photos and session prices." sqref="H2:H201">
      <formula1>Lists!$B$2:$B$3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sheetViews>
    <sheetView workbookViewId="0">
      <selection activeCell="A1" sqref="A1"/>
    </sheetView>
  </sheetViews>
  <sheetFormatPr defaultRowHeight="15"/>
  <cols>
    <col min="1" max="1" width="26" customWidth="1"/>
    <col min="2" max="2" width="26" customWidth="1"/>
    <col min="3" max="3" width="26" customWidth="1"/>
    <col min="4" max="4" width="26" customWidth="1"/>
    <col min="5" max="5" width="26" customWidth="1"/>
    <col min="6" max="6" width="26" customWidth="1"/>
    <col min="7" max="7" width="26" customWidth="1"/>
  </cols>
  <sheetData>
    <row r="1">
      <c r="A1" s="1" t="inlineStr">
        <is>
          <t xml:space="preserve">Region</t>
        </is>
      </c>
      <c r="B1" s="1" t="inlineStr">
        <is>
          <t xml:space="preserve">Yes/No</t>
        </is>
      </c>
      <c r="C1" s="1" t="inlineStr">
        <is>
          <t xml:space="preserve">Surface</t>
        </is>
      </c>
      <c r="D1" s="1" t="inlineStr">
        <is>
          <t xml:space="preserve">Pin checked by</t>
        </is>
      </c>
      <c r="E1" s="1" t="inlineStr">
        <is>
          <t xml:space="preserve">Permission</t>
        </is>
      </c>
      <c r="F1" s="1" t="inlineStr">
        <is>
          <t xml:space="preserve">Role</t>
        </is>
      </c>
      <c r="G1" s="1" t="inlineStr">
        <is>
          <t xml:space="preserve">How they agreed</t>
        </is>
      </c>
    </row>
    <row r="2">
      <c r="A2" t="inlineStr">
        <is>
          <t xml:space="preserve">NCR – Metro Manila</t>
        </is>
      </c>
      <c r="B2" t="inlineStr">
        <is>
          <t xml:space="preserve">Yes</t>
        </is>
      </c>
      <c r="C2" t="inlineStr">
        <is>
          <t xml:space="preserve">Hard</t>
        </is>
      </c>
      <c r="D2" t="inlineStr">
        <is>
          <t xml:space="preserve">Owner or manager</t>
        </is>
      </c>
      <c r="E2" t="inlineStr">
        <is>
          <t xml:space="preserve">Yes</t>
        </is>
      </c>
      <c r="F2" t="inlineStr">
        <is>
          <t xml:space="preserve">Owner</t>
        </is>
      </c>
      <c r="G2" t="inlineStr">
        <is>
          <t xml:space="preserve">In person</t>
        </is>
      </c>
    </row>
    <row r="3">
      <c r="A3" t="inlineStr">
        <is>
          <t xml:space="preserve">CAR – Cordillera</t>
        </is>
      </c>
      <c r="B3" t="inlineStr">
        <is>
          <t xml:space="preserve">No</t>
        </is>
      </c>
      <c r="C3" t="inlineStr">
        <is>
          <t xml:space="preserve">Synthetic</t>
        </is>
      </c>
      <c r="D3" t="inlineStr">
        <is>
          <t xml:space="preserve">Site visit</t>
        </is>
      </c>
      <c r="E3" t="inlineStr">
        <is>
          <t xml:space="preserve">Pending</t>
        </is>
      </c>
      <c r="F3" t="inlineStr">
        <is>
          <t xml:space="preserve">Manager</t>
        </is>
      </c>
      <c r="G3" t="inlineStr">
        <is>
          <t xml:space="preserve">Message</t>
        </is>
      </c>
    </row>
    <row r="4">
      <c r="A4" t="inlineStr">
        <is>
          <t xml:space="preserve">I – Ilocos</t>
        </is>
      </c>
      <c r="C4" t="inlineStr">
        <is>
          <t xml:space="preserve">Other</t>
        </is>
      </c>
      <c r="D4" t="inlineStr">
        <is>
          <t xml:space="preserve">Not yet</t>
        </is>
      </c>
      <c r="E4" t="inlineStr">
        <is>
          <t xml:space="preserve">No</t>
        </is>
      </c>
      <c r="F4" t="inlineStr">
        <is>
          <t xml:space="preserve">Staff</t>
        </is>
      </c>
      <c r="G4" t="inlineStr">
        <is>
          <t xml:space="preserve">Email</t>
        </is>
      </c>
    </row>
    <row r="5">
      <c r="A5" t="inlineStr">
        <is>
          <t xml:space="preserve">II – Cagayan Valley</t>
        </is>
      </c>
      <c r="C5" t="inlineStr">
        <is>
          <t xml:space="preserve">Not sure</t>
        </is>
      </c>
      <c r="F5" t="inlineStr">
        <is>
          <t xml:space="preserve">Other</t>
        </is>
      </c>
      <c r="G5" t="inlineStr">
        <is>
          <t xml:space="preserve">Phone call</t>
        </is>
      </c>
    </row>
    <row r="6">
      <c r="A6" t="inlineStr">
        <is>
          <t xml:space="preserve">III – Central Luzon</t>
        </is>
      </c>
    </row>
    <row r="7">
      <c r="A7" t="inlineStr">
        <is>
          <t xml:space="preserve">IV-A – CALABARZON</t>
        </is>
      </c>
    </row>
    <row r="8">
      <c r="A8" t="inlineStr">
        <is>
          <t xml:space="preserve">MIMAROPA</t>
        </is>
      </c>
    </row>
    <row r="9">
      <c r="A9" t="inlineStr">
        <is>
          <t xml:space="preserve">V – Bicol</t>
        </is>
      </c>
    </row>
    <row r="10">
      <c r="A10" t="inlineStr">
        <is>
          <t xml:space="preserve">VI – Western Visayas</t>
        </is>
      </c>
    </row>
    <row r="11">
      <c r="A11" t="inlineStr">
        <is>
          <t xml:space="preserve">NIR – Negros Island</t>
        </is>
      </c>
    </row>
    <row r="12">
      <c r="A12" t="inlineStr">
        <is>
          <t xml:space="preserve">VII – Central Visayas</t>
        </is>
      </c>
    </row>
    <row r="13">
      <c r="A13" t="inlineStr">
        <is>
          <t xml:space="preserve">VIII – Eastern Visayas</t>
        </is>
      </c>
    </row>
    <row r="14">
      <c r="A14" t="inlineStr">
        <is>
          <t xml:space="preserve">IX – Zamboanga Peninsula</t>
        </is>
      </c>
    </row>
    <row r="15">
      <c r="A15" t="inlineStr">
        <is>
          <t xml:space="preserve">X – Northern Mindanao</t>
        </is>
      </c>
    </row>
    <row r="16">
      <c r="A16" t="inlineStr">
        <is>
          <t xml:space="preserve">XI – Davao</t>
        </is>
      </c>
    </row>
    <row r="17">
      <c r="A17" t="inlineStr">
        <is>
          <t xml:space="preserve">XII – SOCCSKSARGEN</t>
        </is>
      </c>
    </row>
    <row r="18">
      <c r="A18" t="inlineStr">
        <is>
          <t xml:space="preserve">XIII – Caraga</t>
        </is>
      </c>
    </row>
    <row r="19">
      <c r="A19" t="inlineStr">
        <is>
          <t xml:space="preserve">BARMM</t>
        </is>
      </c>
    </row>
  </sheetData>
  <pageMargins left="0.7" right="0.7" top="0.75" bottom="0.75" header="0.3" footer="0.3"/>
</worksheet>
</file>